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estonesys365.sharepoint.com/sites/PE/Shared Documents/General/2. Product Excellence/Price List/Milestone Price Lists/Pricelists EntR/XProtect/XProtect Price lists January 2027 Price Increase/"/>
    </mc:Choice>
  </mc:AlternateContent>
  <xr:revisionPtr revIDLastSave="297" documentId="8_{A9555F34-F8C0-4046-A460-8FE2FE8C0319}" xr6:coauthVersionLast="47" xr6:coauthVersionMax="47" xr10:uidLastSave="{36E4AD9B-359A-4562-8887-2E8AA704AD72}"/>
  <bookViews>
    <workbookView xWindow="1560" yWindow="255" windowWidth="23775" windowHeight="20295" xr2:uid="{C2138FFD-D3AD-463F-BCEC-357EA525AFE8}"/>
  </bookViews>
  <sheets>
    <sheet name="XProtect_USD-US" sheetId="18" r:id="rId1"/>
  </sheets>
  <externalReferences>
    <externalReference r:id="rId2"/>
  </externalReferences>
  <definedNames>
    <definedName name="Currency_SKU">'[1]Input_and_Look-up_Sheet'!$D$18</definedName>
    <definedName name="Region_Code_SKU">'[1]Input_and_Look-up_Sheet'!$B$18</definedName>
    <definedName name="Validity_period">'[1]Input_and_Look-up_Sheet'!$B$4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18" l="1"/>
  <c r="F70" i="18"/>
  <c r="F69" i="18"/>
  <c r="F68" i="18"/>
  <c r="F67" i="18"/>
  <c r="F64" i="18"/>
  <c r="F63" i="18"/>
  <c r="F62" i="18"/>
  <c r="F61" i="18"/>
  <c r="F60" i="18"/>
  <c r="F54" i="18"/>
  <c r="F53" i="18"/>
  <c r="F52" i="18"/>
  <c r="F51" i="18"/>
  <c r="F50" i="18"/>
  <c r="F47" i="18"/>
  <c r="F46" i="18"/>
  <c r="F45" i="18"/>
  <c r="F44" i="18"/>
  <c r="F43" i="18"/>
  <c r="F38" i="18"/>
  <c r="F37" i="18"/>
  <c r="F36" i="18"/>
  <c r="F35" i="18"/>
  <c r="F34" i="18"/>
  <c r="F31" i="18"/>
  <c r="F30" i="18"/>
  <c r="F29" i="18"/>
  <c r="F28" i="18"/>
  <c r="F27" i="18"/>
  <c r="F22" i="18"/>
  <c r="F21" i="18"/>
  <c r="F20" i="18"/>
  <c r="F19" i="18"/>
  <c r="F18" i="18"/>
  <c r="F15" i="18"/>
  <c r="F14" i="18"/>
  <c r="F13" i="18"/>
  <c r="F12" i="18"/>
  <c r="F11" i="18"/>
</calcChain>
</file>

<file path=xl/sharedStrings.xml><?xml version="1.0" encoding="utf-8"?>
<sst xmlns="http://schemas.openxmlformats.org/spreadsheetml/2006/main" count="240" uniqueCount="153">
  <si>
    <t>MSRP Price</t>
  </si>
  <si>
    <t>Milestone SKU ID</t>
  </si>
  <si>
    <t>Product</t>
  </si>
  <si>
    <t>XProtect VMS Products</t>
  </si>
  <si>
    <t>XProtect Express+</t>
  </si>
  <si>
    <t>XPEXPLUSBL</t>
  </si>
  <si>
    <t>XProtect Express+ Base License</t>
  </si>
  <si>
    <t>XPEXPLUSDL</t>
  </si>
  <si>
    <t>XProtect Express+ Device License</t>
  </si>
  <si>
    <t>MCPL-XPEXPLUSDL</t>
  </si>
  <si>
    <t>Care Plus for XProtect Express+ DL</t>
  </si>
  <si>
    <t>(15% discount)</t>
  </si>
  <si>
    <t>(25% discount)</t>
  </si>
  <si>
    <t>MCPR-XPEXPLUSDL</t>
  </si>
  <si>
    <t>Care Premium for XProtect Express+ DL</t>
  </si>
  <si>
    <t>XProtect Professional+</t>
  </si>
  <si>
    <t>XPPPLUSBL</t>
  </si>
  <si>
    <t>XProtect Professional+ Base License</t>
  </si>
  <si>
    <t>XPPPLUSDL</t>
  </si>
  <si>
    <t>XProtect Professional+ Device License</t>
  </si>
  <si>
    <t>MCPL-XPPPLUSDL</t>
  </si>
  <si>
    <t>Care Plus for XProtect Professional+ DL</t>
  </si>
  <si>
    <t>MCPR-XPPPLUSDL</t>
  </si>
  <si>
    <t>Care Premium for XProtect Professional+ DL</t>
  </si>
  <si>
    <t>XProtect Expert</t>
  </si>
  <si>
    <t>XPETBL</t>
  </si>
  <si>
    <t>XProtect Expert Base License</t>
  </si>
  <si>
    <t>XPETDL</t>
  </si>
  <si>
    <t>XProtect Expert Device License</t>
  </si>
  <si>
    <t>MCPL-XPETDL</t>
  </si>
  <si>
    <t>Care Plus for XProtect Expert DL</t>
  </si>
  <si>
    <t>MCPR-XPETDL</t>
  </si>
  <si>
    <t>Care Premium for XProtect Expert DL</t>
  </si>
  <si>
    <t>XProtect Corporate</t>
  </si>
  <si>
    <t>XPCOBT</t>
  </si>
  <si>
    <t>XProtect Corporate Base License</t>
  </si>
  <si>
    <t>XPCODL</t>
  </si>
  <si>
    <t>XProtect Corporate Device License</t>
  </si>
  <si>
    <t>XPCOMIDL</t>
  </si>
  <si>
    <t>XProtect Interconnect Device License</t>
  </si>
  <si>
    <t>MCPL-XPCODL</t>
  </si>
  <si>
    <t>Care Plus for XProtect Corporate DL</t>
  </si>
  <si>
    <t>MCPR-XPCODL</t>
  </si>
  <si>
    <t>Care Premium for XProtect Corporate DL</t>
  </si>
  <si>
    <t>XProtect Rapid Review</t>
  </si>
  <si>
    <t>XPRRDL</t>
  </si>
  <si>
    <t>XProtect Rapid REVIEW Device License</t>
  </si>
  <si>
    <t>XProtect Hospital Assist</t>
  </si>
  <si>
    <t>XPHADL</t>
  </si>
  <si>
    <t>XProtect Hospital Assist Device License</t>
  </si>
  <si>
    <t xml:space="preserve">XProtect Smart Wall </t>
  </si>
  <si>
    <t>XPSWBL</t>
  </si>
  <si>
    <t>XProtect Smart Wall Base License</t>
  </si>
  <si>
    <t xml:space="preserve">XProtect Incident Manager </t>
  </si>
  <si>
    <t>XPIMBL</t>
  </si>
  <si>
    <t>XProtect Incident Manager Base License</t>
  </si>
  <si>
    <t xml:space="preserve">XProtect LPR </t>
  </si>
  <si>
    <t>XPLPRBL</t>
  </si>
  <si>
    <t>XProtect LPR Base License</t>
  </si>
  <si>
    <t>XPLPRCL</t>
  </si>
  <si>
    <t>XProtect LPR Device License</t>
  </si>
  <si>
    <t>XPLPRLL</t>
  </si>
  <si>
    <t>XProtect LPR Country Module</t>
  </si>
  <si>
    <t>Management Server Failover</t>
  </si>
  <si>
    <t>XPMSFSL</t>
  </si>
  <si>
    <t>XProtect Management Server Failover Server License</t>
  </si>
  <si>
    <t>XProtect Transact</t>
  </si>
  <si>
    <t>XPTBS</t>
  </si>
  <si>
    <t>XProtect Transact Base License w/ 1 CL</t>
  </si>
  <si>
    <t>XPTC1</t>
  </si>
  <si>
    <t>XProtect Transact Connection License</t>
  </si>
  <si>
    <t>XProtect Access</t>
  </si>
  <si>
    <t>XPABL</t>
  </si>
  <si>
    <t>XProtect Access Base License</t>
  </si>
  <si>
    <t>XPADL</t>
  </si>
  <si>
    <t>XProtect Access Device License</t>
  </si>
  <si>
    <t>XPRSL</t>
  </si>
  <si>
    <t>XP Retail Server License</t>
  </si>
  <si>
    <t>XPRCL</t>
  </si>
  <si>
    <t>XP Retail Connection License</t>
  </si>
  <si>
    <t>Husky IVO Maintenance Services</t>
  </si>
  <si>
    <t>Husky Extended Maintenance Services</t>
  </si>
  <si>
    <t>HEMS-150D-5Y-KYHD</t>
  </si>
  <si>
    <t>5 Years Keep Your Hard Drive (KYHD) - 150D</t>
  </si>
  <si>
    <t>HEMS-350T-5Y-KYHD</t>
  </si>
  <si>
    <t>5 Years Keep Your Hard Drive (KYHD) - 350T</t>
  </si>
  <si>
    <t>5 Years 4H Mission Critical w/ KYHD - 350R</t>
  </si>
  <si>
    <t>5 Years Keep Your Hard Drive (KYHD) - 350R</t>
  </si>
  <si>
    <t>5 Years 4H Mission Critical w/ KYHD - 700R</t>
  </si>
  <si>
    <t>5 Years Keep Your Hard Drive (KYHD) - 700R</t>
  </si>
  <si>
    <t>5 Years 4H Mission Critical w/ KYHD - 1000R</t>
  </si>
  <si>
    <t>5 Years Keep Your Hard Drive (KYHD) - 1000R</t>
  </si>
  <si>
    <t>5 Years 4H Mission Critical w/ KYHD - 1800R</t>
  </si>
  <si>
    <t>5 Years Keep Your Hard Drive (KYHD) - 1800R</t>
  </si>
  <si>
    <t>USD</t>
  </si>
  <si>
    <t>XPEMBL</t>
  </si>
  <si>
    <t>XPEMDP</t>
  </si>
  <si>
    <t>XPEMPSSM</t>
  </si>
  <si>
    <t>XPEMSL</t>
  </si>
  <si>
    <t>XPEMPS</t>
  </si>
  <si>
    <t>XPEMAI</t>
  </si>
  <si>
    <t>XPEMGCS</t>
  </si>
  <si>
    <r>
      <t>Plug-In Data Plan (10 TB/90.000 DPC)</t>
    </r>
    <r>
      <rPr>
        <vertAlign val="superscript"/>
        <sz val="11"/>
        <color rgb="FF000000"/>
        <rFont val="Aptos Narrow"/>
        <family val="2"/>
      </rPr>
      <t>1</t>
    </r>
  </si>
  <si>
    <r>
      <t>XProtect Evidence Manager BL</t>
    </r>
    <r>
      <rPr>
        <vertAlign val="superscript"/>
        <sz val="11"/>
        <color rgb="FF000000"/>
        <rFont val="Aptos Narrow"/>
        <family val="2"/>
      </rPr>
      <t>2</t>
    </r>
  </si>
  <si>
    <r>
      <t>Public Safety Service Module</t>
    </r>
    <r>
      <rPr>
        <vertAlign val="superscript"/>
        <sz val="11"/>
        <color rgb="FF000000"/>
        <rFont val="Aptos Narrow"/>
        <family val="2"/>
      </rPr>
      <t>2</t>
    </r>
  </si>
  <si>
    <r>
      <t>Concurrent Per Seat License</t>
    </r>
    <r>
      <rPr>
        <vertAlign val="superscript"/>
        <sz val="11"/>
        <color rgb="FF000000"/>
        <rFont val="Aptos Narrow"/>
        <family val="2"/>
      </rPr>
      <t>2</t>
    </r>
  </si>
  <si>
    <r>
      <t>Preview Server</t>
    </r>
    <r>
      <rPr>
        <vertAlign val="superscript"/>
        <sz val="11"/>
        <color rgb="FF000000"/>
        <rFont val="Aptos Narrow"/>
        <family val="2"/>
      </rPr>
      <t>2</t>
    </r>
  </si>
  <si>
    <r>
      <t>AI Plug-In</t>
    </r>
    <r>
      <rPr>
        <vertAlign val="superscript"/>
        <sz val="11"/>
        <color rgb="FF000000"/>
        <rFont val="Aptos Narrow"/>
        <family val="2"/>
      </rPr>
      <t>2</t>
    </r>
  </si>
  <si>
    <r>
      <t>AWS S3 Archiver for Glacier Cold Storage</t>
    </r>
    <r>
      <rPr>
        <vertAlign val="superscript"/>
        <sz val="11"/>
        <color rgb="FF000000"/>
        <rFont val="Aptos Narrow"/>
        <family val="2"/>
      </rPr>
      <t>2</t>
    </r>
  </si>
  <si>
    <t>1) License purchased based on actual consumption.</t>
  </si>
  <si>
    <t>2) Annual license, purchased on a yearly basis.</t>
  </si>
  <si>
    <r>
      <t xml:space="preserve">
XProtect Evidence Manager*
</t>
    </r>
    <r>
      <rPr>
        <sz val="8"/>
        <color rgb="FFECEEF0"/>
        <rFont val="Bricolage Grotesque 14pt Medium"/>
        <family val="2"/>
      </rPr>
      <t>*For more details regarding the product, please refer to the separate XProtect Evidence Manager Addendum.</t>
    </r>
  </si>
  <si>
    <t>XProtect Retail</t>
  </si>
  <si>
    <t>XProtect Add-Ons</t>
  </si>
  <si>
    <t xml:space="preserve">This is Milestone Recommended Price List with Milestone MSRP prices for Milestone products. 
Milestone MSRP price is a recommended price only, and Milestone partners (Distributors and Resellers) remain free to determine their own pricing in their respective transactions.
</t>
  </si>
  <si>
    <t>Professional Services</t>
  </si>
  <si>
    <t>XP-PROSERV</t>
  </si>
  <si>
    <t xml:space="preserve">XProtect Professional Services </t>
  </si>
  <si>
    <t>Subject to quote</t>
  </si>
  <si>
    <t>XPSEABL</t>
  </si>
  <si>
    <t>XPSEADL</t>
  </si>
  <si>
    <t>*XProtect Access Required</t>
  </si>
  <si>
    <t>AXIS Secure Entry for XProtect*</t>
  </si>
  <si>
    <t>AXIS Secure Entry for XProtect Base License</t>
  </si>
  <si>
    <t>AXIS Secure Entry for XProtect Door License</t>
  </si>
  <si>
    <t>(10% discount)</t>
  </si>
  <si>
    <t>(20% discount)</t>
  </si>
  <si>
    <t>1 Month</t>
  </si>
  <si>
    <t>Note: For Care monthly term offers under Buy New or Renewal scenarios, the applicable discount is determined based on the total contract duration. Expansions (amendments) will not receive automatic volume discounts.</t>
  </si>
  <si>
    <r>
      <rPr>
        <sz val="12"/>
        <color rgb="FFECEEF0"/>
        <rFont val="Bricolage Grotesque 14pt Medium"/>
        <family val="2"/>
      </rPr>
      <t xml:space="preserve">MSRP less Built-In Discount
</t>
    </r>
    <r>
      <rPr>
        <sz val="10"/>
        <color rgb="FFECEEF0"/>
        <rFont val="Bricolage Grotesque 14pt Medium"/>
        <family val="2"/>
      </rPr>
      <t>(per device, per month)</t>
    </r>
  </si>
  <si>
    <t>12–23 months (1 Year)</t>
  </si>
  <si>
    <t>24–35 months (2 Year)</t>
  </si>
  <si>
    <t>36–47 months (3 Year)</t>
  </si>
  <si>
    <t>48–59 months (4 Year)</t>
  </si>
  <si>
    <t>per device</t>
  </si>
  <si>
    <t xml:space="preserve">per device </t>
  </si>
  <si>
    <t>(0% discount)</t>
  </si>
  <si>
    <r>
      <rPr>
        <sz val="11"/>
        <color rgb="FF000000"/>
        <rFont val="Aptos Narrow"/>
        <family val="2"/>
      </rPr>
      <t>(0% discount)</t>
    </r>
    <r>
      <rPr>
        <b/>
        <sz val="11"/>
        <color rgb="FF000000"/>
        <rFont val="Aptos Narrow"/>
        <family val="2"/>
      </rPr>
      <t xml:space="preserve"> mandatory on initial purchase</t>
    </r>
  </si>
  <si>
    <t xml:space="preserve"> 60 months (5 Year)</t>
  </si>
  <si>
    <t>60 months  (5 Year)</t>
  </si>
  <si>
    <t>60 months (5 Year)</t>
  </si>
  <si>
    <r>
      <rPr>
        <b/>
        <sz val="18"/>
        <color rgb="FF0099DA"/>
        <rFont val="Bricolage Grotesque 14pt SemiBo"/>
        <family val="2"/>
      </rPr>
      <t xml:space="preserve">                                                                        Milestone Price List for XProtect</t>
    </r>
    <r>
      <rPr>
        <b/>
        <sz val="16"/>
        <color rgb="FF0099DA"/>
        <rFont val="Bricolage Grotesque 14pt SemiBo"/>
        <family val="2"/>
      </rPr>
      <t xml:space="preserve">
</t>
    </r>
    <r>
      <rPr>
        <b/>
        <sz val="14"/>
        <color rgb="FF0099DA"/>
        <rFont val="Bricolage Grotesque 14pt Light"/>
        <family val="2"/>
      </rPr>
      <t xml:space="preserve">                                                                         Effective from: January 1, 2027</t>
    </r>
  </si>
  <si>
    <t>Note</t>
  </si>
  <si>
    <t>*The SKU is currently unavailable. Please contact Milestone Order Management for possible solutions.</t>
  </si>
  <si>
    <t>Currently unavailable</t>
  </si>
  <si>
    <t>HEMS-350R-5Y-4HMC*</t>
  </si>
  <si>
    <t>HEMS-350R-5Y-KYHD*</t>
  </si>
  <si>
    <t>HEMS-700R-5Y-4HMC*</t>
  </si>
  <si>
    <t>HEMS-700R-5Y-KYHD*</t>
  </si>
  <si>
    <t>HEMS-1000R-5Y-4HMC*</t>
  </si>
  <si>
    <t>HEMS-1000R-5Y-KYHD*</t>
  </si>
  <si>
    <t>HEMS-1800R-5Y-4HMC*</t>
  </si>
  <si>
    <t>HEMS-1800R-5Y-KYHD*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</si>
</sst>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r.&quot;_-;\-* #,##0.00\ &quot;kr.&quot;_-;_-* &quot;-&quot;??\ &quot;kr.&quot;_-;_-@_-"/>
    <numFmt numFmtId="164" formatCode="&quot; &quot;* #,##0.00&quot; &quot;;&quot;-&quot;* #,##0.00&quot; &quot;;&quot; &quot;* &quot;-&quot;#&quot; &quot;;&quot; &quot;@&quot; &quot;"/>
    <numFmt numFmtId="165" formatCode="[$$-409]#,##0.00"/>
    <numFmt numFmtId="166" formatCode="_-* #,##0.00\ [$DKK]_-;\-* #,##0.00\ [$DKK]_-;_-* &quot;-&quot;??\ [$DKK]_-;_-@_-"/>
    <numFmt numFmtId="167" formatCode="[$€-2]\ #,##0.00"/>
  </numFmts>
  <fonts count="33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Bricolage Grotesque 14pt Medium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rgb="FF0099DA"/>
      <name val="Bricolage Grotesque 14pt SemiBo"/>
      <family val="2"/>
    </font>
    <font>
      <b/>
      <sz val="18"/>
      <color rgb="FF0099DA"/>
      <name val="Bricolage Grotesque 14pt SemiBo"/>
      <family val="2"/>
    </font>
    <font>
      <b/>
      <sz val="12"/>
      <color rgb="FFECEEF0"/>
      <name val="Bricolage Grotesque 14pt Medium"/>
      <family val="2"/>
    </font>
    <font>
      <sz val="16"/>
      <color rgb="FFECEEF0"/>
      <name val="Bricolage Grotesque 14pt Medium"/>
      <family val="2"/>
    </font>
    <font>
      <sz val="11"/>
      <color rgb="FFECEEF0"/>
      <name val="Bricolage Grotesque 14pt Medium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2"/>
      <color rgb="FF0099DA"/>
      <name val="Bricolage Grotesque 14pt Medium"/>
      <family val="2"/>
    </font>
    <font>
      <b/>
      <sz val="12"/>
      <color rgb="FFECEEF0"/>
      <name val="Bricolage Grotesque 14pt"/>
      <family val="2"/>
    </font>
    <font>
      <sz val="12"/>
      <color rgb="FF000000"/>
      <name val="Aptos Narrow"/>
      <family val="2"/>
    </font>
    <font>
      <b/>
      <sz val="14"/>
      <color rgb="FF0099DA"/>
      <name val="Bricolage Grotesque 14pt Light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</font>
    <font>
      <sz val="10"/>
      <color rgb="FF000000"/>
      <name val="Aptos Narrow"/>
      <family val="2"/>
    </font>
    <font>
      <vertAlign val="superscript"/>
      <sz val="11"/>
      <color rgb="FF000000"/>
      <name val="Aptos Narrow"/>
      <family val="2"/>
    </font>
    <font>
      <sz val="9"/>
      <name val="Aptos Narrow"/>
      <family val="2"/>
    </font>
    <font>
      <sz val="8"/>
      <color rgb="FFECEEF0"/>
      <name val="Bricolage Grotesque 14pt Medium"/>
      <family val="2"/>
    </font>
    <font>
      <sz val="10"/>
      <color theme="0"/>
      <name val="Aptos Narrow"/>
      <family val="2"/>
      <scheme val="minor"/>
    </font>
    <font>
      <sz val="11"/>
      <color rgb="FF000000"/>
      <name val="Aptos Display"/>
      <family val="2"/>
    </font>
    <font>
      <b/>
      <sz val="12"/>
      <color theme="0"/>
      <name val="Bricolage Grotesque 14pt Medium"/>
      <family val="2"/>
    </font>
    <font>
      <b/>
      <sz val="12"/>
      <color rgb="FF0099DA"/>
      <name val="Bricolage Grotesque 14pt Medium"/>
      <family val="2"/>
    </font>
    <font>
      <sz val="11"/>
      <color theme="0"/>
      <name val="Aptos Narrow"/>
      <family val="2"/>
    </font>
    <font>
      <i/>
      <sz val="12"/>
      <color rgb="FFECEEF0"/>
      <name val="Aptos Narrow"/>
      <family val="2"/>
      <scheme val="minor"/>
    </font>
    <font>
      <sz val="12"/>
      <color rgb="FFECEEF0"/>
      <name val="Bricolage Grotesque 14pt Medium"/>
      <family val="2"/>
    </font>
    <font>
      <sz val="10"/>
      <color rgb="FFECEEF0"/>
      <name val="Bricolage Grotesque 14pt Medium"/>
      <family val="2"/>
    </font>
    <font>
      <sz val="14"/>
      <color rgb="FF000000"/>
      <name val="Aptos Narrow"/>
      <family val="2"/>
    </font>
    <font>
      <sz val="14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81927"/>
        <bgColor indexed="64"/>
      </patternFill>
    </fill>
    <fill>
      <patternFill patternType="solid">
        <fgColor rgb="FF081927"/>
        <bgColor rgb="FF15608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EEF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rgb="FFECEEF0"/>
      </right>
      <top/>
      <bottom/>
      <diagonal/>
    </border>
    <border>
      <left/>
      <right style="thin">
        <color rgb="FF081927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rgb="FF081927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81927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81927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rgb="FF081927"/>
      </right>
      <top/>
      <bottom style="thin">
        <color theme="2"/>
      </bottom>
      <diagonal/>
    </border>
    <border>
      <left style="thin">
        <color theme="2"/>
      </left>
      <right style="thin">
        <color rgb="FF081927"/>
      </right>
      <top style="thin">
        <color theme="2"/>
      </top>
      <bottom style="thin">
        <color indexed="64"/>
      </bottom>
      <diagonal/>
    </border>
    <border>
      <left style="thin">
        <color theme="0"/>
      </left>
      <right style="thin">
        <color rgb="FF081927"/>
      </right>
      <top style="thin">
        <color theme="0"/>
      </top>
      <bottom/>
      <diagonal/>
    </border>
    <border>
      <left style="thin">
        <color theme="0"/>
      </left>
      <right style="thin">
        <color rgb="FF081927"/>
      </right>
      <top/>
      <bottom/>
      <diagonal/>
    </border>
    <border>
      <left style="thin">
        <color theme="0"/>
      </left>
      <right style="thin">
        <color rgb="FF081927"/>
      </right>
      <top/>
      <bottom style="thin">
        <color theme="0"/>
      </bottom>
      <diagonal/>
    </border>
    <border>
      <left style="thin">
        <color theme="0"/>
      </left>
      <right style="thin">
        <color rgb="FF081927"/>
      </right>
      <top style="thin">
        <color theme="0"/>
      </top>
      <bottom style="thin">
        <color theme="0"/>
      </bottom>
      <diagonal/>
    </border>
    <border>
      <left style="thin">
        <color rgb="FF081927"/>
      </left>
      <right/>
      <top/>
      <bottom style="thin">
        <color indexed="64"/>
      </bottom>
      <diagonal/>
    </border>
    <border>
      <left style="thin">
        <color rgb="FF081927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81927"/>
      </right>
      <top/>
      <bottom style="thin">
        <color theme="2"/>
      </bottom>
      <diagonal/>
    </border>
    <border>
      <left style="thin">
        <color rgb="FF081927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rgb="FF081927"/>
      </right>
      <top style="thin">
        <color indexed="64"/>
      </top>
      <bottom style="dotted">
        <color indexed="64"/>
      </bottom>
      <diagonal/>
    </border>
    <border>
      <left style="thin">
        <color rgb="FF081927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rgb="FF081927"/>
      </right>
      <top style="dotted">
        <color indexed="64"/>
      </top>
      <bottom style="dotted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156082"/>
      </right>
      <top style="thin">
        <color theme="0"/>
      </top>
      <bottom/>
      <diagonal/>
    </border>
    <border>
      <left style="thin">
        <color rgb="FF15608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rgb="FF156082"/>
      </right>
      <top/>
      <bottom/>
      <diagonal/>
    </border>
    <border>
      <left style="thin">
        <color rgb="FF156082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/>
      <diagonal/>
    </border>
    <border>
      <left style="thin">
        <color theme="2"/>
      </left>
      <right/>
      <top style="thin">
        <color rgb="FFFFFFFF"/>
      </top>
      <bottom/>
      <diagonal/>
    </border>
    <border>
      <left style="thin">
        <color rgb="FFFFFFFF"/>
      </left>
      <right style="thin">
        <color theme="0"/>
      </right>
      <top style="thin">
        <color rgb="FFFFFFFF"/>
      </top>
      <bottom/>
      <diagonal/>
    </border>
    <border>
      <left style="thin">
        <color rgb="FF081927"/>
      </left>
      <right/>
      <top/>
      <bottom style="dotted">
        <color indexed="64"/>
      </bottom>
      <diagonal/>
    </border>
    <border>
      <left style="thin">
        <color rgb="FF081927"/>
      </left>
      <right/>
      <top style="dotted">
        <color indexed="64"/>
      </top>
      <bottom/>
      <diagonal/>
    </border>
    <border>
      <left style="thin">
        <color rgb="FF081927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4" fillId="0" borderId="0" xfId="0" applyFont="1"/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0" borderId="0" xfId="0" applyFont="1"/>
    <xf numFmtId="0" fontId="0" fillId="0" borderId="7" xfId="0" applyBorder="1"/>
    <xf numFmtId="165" fontId="0" fillId="0" borderId="8" xfId="0" applyNumberFormat="1" applyBorder="1" applyAlignment="1">
      <alignment horizontal="right"/>
    </xf>
    <xf numFmtId="165" fontId="0" fillId="0" borderId="0" xfId="0" applyNumberFormat="1"/>
    <xf numFmtId="165" fontId="11" fillId="0" borderId="8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1" fillId="0" borderId="14" xfId="0" applyNumberFormat="1" applyFon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0" fillId="0" borderId="23" xfId="0" applyNumberFormat="1" applyBorder="1" applyAlignment="1">
      <alignment horizontal="right"/>
    </xf>
    <xf numFmtId="165" fontId="5" fillId="2" borderId="15" xfId="0" applyNumberFormat="1" applyFont="1" applyFill="1" applyBorder="1" applyAlignment="1">
      <alignment horizontal="right"/>
    </xf>
    <xf numFmtId="165" fontId="5" fillId="2" borderId="16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5" borderId="9" xfId="0" applyFill="1" applyBorder="1" applyAlignment="1">
      <alignment horizontal="left"/>
    </xf>
    <xf numFmtId="0" fontId="18" fillId="6" borderId="0" xfId="0" applyFont="1" applyFill="1" applyAlignment="1">
      <alignment horizontal="left"/>
    </xf>
    <xf numFmtId="0" fontId="12" fillId="5" borderId="9" xfId="0" applyFont="1" applyFill="1" applyBorder="1" applyAlignment="1">
      <alignment horizontal="left"/>
    </xf>
    <xf numFmtId="0" fontId="17" fillId="6" borderId="0" xfId="0" applyFont="1" applyFill="1" applyAlignment="1">
      <alignment horizontal="right"/>
    </xf>
    <xf numFmtId="0" fontId="11" fillId="0" borderId="0" xfId="0" applyFont="1" applyAlignment="1">
      <alignment horizontal="left"/>
    </xf>
    <xf numFmtId="0" fontId="11" fillId="0" borderId="13" xfId="0" applyFont="1" applyBorder="1"/>
    <xf numFmtId="0" fontId="0" fillId="0" borderId="11" xfId="0" applyBorder="1"/>
    <xf numFmtId="0" fontId="0" fillId="0" borderId="13" xfId="0" applyBorder="1"/>
    <xf numFmtId="0" fontId="4" fillId="0" borderId="11" xfId="0" applyFont="1" applyBorder="1"/>
    <xf numFmtId="165" fontId="12" fillId="5" borderId="10" xfId="0" applyNumberFormat="1" applyFont="1" applyFill="1" applyBorder="1" applyAlignment="1">
      <alignment horizontal="right"/>
    </xf>
    <xf numFmtId="165" fontId="12" fillId="6" borderId="8" xfId="0" applyNumberFormat="1" applyFont="1" applyFill="1" applyBorder="1" applyAlignment="1">
      <alignment horizontal="right"/>
    </xf>
    <xf numFmtId="0" fontId="12" fillId="6" borderId="0" xfId="0" applyFont="1" applyFill="1" applyAlignment="1">
      <alignment horizontal="left"/>
    </xf>
    <xf numFmtId="165" fontId="0" fillId="6" borderId="8" xfId="0" applyNumberFormat="1" applyFill="1" applyBorder="1" applyAlignment="1">
      <alignment horizontal="right"/>
    </xf>
    <xf numFmtId="0" fontId="12" fillId="6" borderId="11" xfId="0" applyFont="1" applyFill="1" applyBorder="1" applyAlignment="1">
      <alignment horizontal="left"/>
    </xf>
    <xf numFmtId="165" fontId="0" fillId="6" borderId="12" xfId="0" applyNumberFormat="1" applyFill="1" applyBorder="1" applyAlignment="1">
      <alignment horizontal="right"/>
    </xf>
    <xf numFmtId="165" fontId="0" fillId="5" borderId="10" xfId="0" applyNumberFormat="1" applyFill="1" applyBorder="1" applyAlignment="1">
      <alignment horizontal="right"/>
    </xf>
    <xf numFmtId="0" fontId="11" fillId="0" borderId="22" xfId="0" applyFont="1" applyBorder="1"/>
    <xf numFmtId="0" fontId="0" fillId="0" borderId="22" xfId="0" applyBorder="1"/>
    <xf numFmtId="0" fontId="0" fillId="0" borderId="21" xfId="0" applyBorder="1"/>
    <xf numFmtId="0" fontId="4" fillId="0" borderId="21" xfId="0" applyFont="1" applyBorder="1"/>
    <xf numFmtId="0" fontId="0" fillId="0" borderId="0" xfId="0" applyAlignment="1">
      <alignment vertical="top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15" fillId="0" borderId="0" xfId="0" applyFont="1"/>
    <xf numFmtId="165" fontId="0" fillId="0" borderId="0" xfId="0" applyNumberFormat="1" applyAlignment="1">
      <alignment horizontal="right"/>
    </xf>
    <xf numFmtId="0" fontId="23" fillId="3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166" fontId="24" fillId="0" borderId="0" xfId="0" applyNumberFormat="1" applyFont="1" applyAlignment="1">
      <alignment horizontal="right" vertical="center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165" fontId="0" fillId="0" borderId="8" xfId="2" applyNumberFormat="1" applyFont="1" applyFill="1" applyBorder="1" applyAlignment="1">
      <alignment horizontal="right"/>
    </xf>
    <xf numFmtId="0" fontId="0" fillId="0" borderId="37" xfId="0" applyBorder="1" applyAlignment="1">
      <alignment horizontal="left"/>
    </xf>
    <xf numFmtId="0" fontId="0" fillId="6" borderId="0" xfId="0" applyFill="1" applyAlignment="1">
      <alignment horizontal="left"/>
    </xf>
    <xf numFmtId="0" fontId="6" fillId="3" borderId="0" xfId="0" applyFont="1" applyFill="1" applyAlignment="1">
      <alignment horizontal="center" vertical="center" wrapText="1"/>
    </xf>
    <xf numFmtId="0" fontId="0" fillId="8" borderId="28" xfId="0" applyFill="1" applyBorder="1" applyAlignment="1">
      <alignment horizontal="right"/>
    </xf>
    <xf numFmtId="0" fontId="0" fillId="8" borderId="28" xfId="0" applyFill="1" applyBorder="1" applyAlignment="1">
      <alignment horizontal="left"/>
    </xf>
    <xf numFmtId="0" fontId="0" fillId="8" borderId="27" xfId="0" applyFill="1" applyBorder="1" applyAlignment="1">
      <alignment horizontal="right"/>
    </xf>
    <xf numFmtId="165" fontId="0" fillId="9" borderId="29" xfId="2" applyNumberFormat="1" applyFont="1" applyFill="1" applyBorder="1" applyAlignment="1">
      <alignment horizontal="right"/>
    </xf>
    <xf numFmtId="165" fontId="12" fillId="5" borderId="0" xfId="0" applyNumberFormat="1" applyFont="1" applyFill="1" applyAlignment="1">
      <alignment horizontal="right"/>
    </xf>
    <xf numFmtId="165" fontId="0" fillId="9" borderId="0" xfId="2" applyNumberFormat="1" applyFont="1" applyFill="1" applyBorder="1" applyAlignment="1">
      <alignment horizontal="right"/>
    </xf>
    <xf numFmtId="165" fontId="12" fillId="6" borderId="0" xfId="0" applyNumberFormat="1" applyFont="1" applyFill="1" applyAlignment="1">
      <alignment horizontal="right"/>
    </xf>
    <xf numFmtId="165" fontId="0" fillId="6" borderId="0" xfId="0" applyNumberFormat="1" applyFill="1" applyAlignment="1">
      <alignment horizontal="right"/>
    </xf>
    <xf numFmtId="165" fontId="0" fillId="7" borderId="0" xfId="0" applyNumberFormat="1" applyFill="1" applyAlignment="1">
      <alignment horizontal="right"/>
    </xf>
    <xf numFmtId="165" fontId="0" fillId="5" borderId="0" xfId="0" applyNumberForma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5" fillId="2" borderId="0" xfId="0" applyNumberFormat="1" applyFont="1" applyFill="1" applyAlignment="1">
      <alignment horizontal="right"/>
    </xf>
    <xf numFmtId="165" fontId="0" fillId="0" borderId="0" xfId="2" applyNumberFormat="1" applyFont="1" applyFill="1" applyBorder="1" applyAlignment="1">
      <alignment horizontal="right"/>
    </xf>
    <xf numFmtId="0" fontId="27" fillId="3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19" fillId="8" borderId="0" xfId="0" applyFont="1" applyFill="1" applyAlignment="1">
      <alignment horizontal="left" wrapText="1"/>
    </xf>
    <xf numFmtId="49" fontId="8" fillId="4" borderId="41" xfId="0" applyNumberFormat="1" applyFont="1" applyFill="1" applyBorder="1" applyAlignment="1">
      <alignment horizontal="left" vertical="center" wrapText="1"/>
    </xf>
    <xf numFmtId="0" fontId="8" fillId="4" borderId="42" xfId="0" applyFont="1" applyFill="1" applyBorder="1" applyAlignment="1">
      <alignment vertical="center"/>
    </xf>
    <xf numFmtId="165" fontId="8" fillId="4" borderId="43" xfId="0" applyNumberFormat="1" applyFont="1" applyFill="1" applyBorder="1" applyAlignment="1">
      <alignment horizontal="center" vertical="center"/>
    </xf>
    <xf numFmtId="167" fontId="10" fillId="4" borderId="4" xfId="2" applyNumberFormat="1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right"/>
    </xf>
    <xf numFmtId="165" fontId="0" fillId="9" borderId="27" xfId="2" applyNumberFormat="1" applyFont="1" applyFill="1" applyBorder="1" applyAlignment="1">
      <alignment horizontal="right"/>
    </xf>
    <xf numFmtId="0" fontId="0" fillId="5" borderId="0" xfId="0" applyFill="1" applyAlignment="1">
      <alignment horizontal="left"/>
    </xf>
    <xf numFmtId="165" fontId="0" fillId="7" borderId="8" xfId="0" applyNumberFormat="1" applyFill="1" applyBorder="1" applyAlignment="1">
      <alignment horizontal="right"/>
    </xf>
    <xf numFmtId="165" fontId="0" fillId="9" borderId="28" xfId="2" applyNumberFormat="1" applyFont="1" applyFill="1" applyBorder="1" applyAlignment="1">
      <alignment horizontal="right"/>
    </xf>
    <xf numFmtId="0" fontId="18" fillId="6" borderId="21" xfId="0" applyFont="1" applyFill="1" applyBorder="1" applyAlignment="1">
      <alignment horizontal="right"/>
    </xf>
    <xf numFmtId="165" fontId="0" fillId="6" borderId="11" xfId="0" applyNumberFormat="1" applyFill="1" applyBorder="1" applyAlignment="1">
      <alignment horizontal="right"/>
    </xf>
    <xf numFmtId="165" fontId="0" fillId="6" borderId="45" xfId="0" applyNumberFormat="1" applyFill="1" applyBorder="1" applyAlignment="1">
      <alignment horizontal="right"/>
    </xf>
    <xf numFmtId="165" fontId="0" fillId="5" borderId="44" xfId="0" applyNumberFormat="1" applyFill="1" applyBorder="1" applyAlignment="1">
      <alignment horizontal="right"/>
    </xf>
    <xf numFmtId="165" fontId="0" fillId="9" borderId="45" xfId="2" applyNumberFormat="1" applyFont="1" applyFill="1" applyBorder="1" applyAlignment="1">
      <alignment horizontal="right"/>
    </xf>
    <xf numFmtId="165" fontId="11" fillId="0" borderId="46" xfId="0" applyNumberFormat="1" applyFont="1" applyBorder="1" applyAlignment="1">
      <alignment horizontal="right"/>
    </xf>
    <xf numFmtId="165" fontId="0" fillId="6" borderId="21" xfId="0" applyNumberFormat="1" applyFill="1" applyBorder="1" applyAlignment="1">
      <alignment horizontal="right"/>
    </xf>
    <xf numFmtId="165" fontId="0" fillId="0" borderId="46" xfId="0" applyNumberFormat="1" applyBorder="1" applyAlignment="1">
      <alignment horizontal="right"/>
    </xf>
    <xf numFmtId="166" fontId="24" fillId="0" borderId="47" xfId="0" applyNumberFormat="1" applyFont="1" applyBorder="1" applyAlignment="1">
      <alignment horizontal="right" vertical="center"/>
    </xf>
    <xf numFmtId="0" fontId="31" fillId="3" borderId="0" xfId="0" applyFont="1" applyFill="1" applyAlignment="1">
      <alignment horizontal="center"/>
    </xf>
    <xf numFmtId="0" fontId="0" fillId="3" borderId="0" xfId="0" applyFill="1"/>
    <xf numFmtId="0" fontId="3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3" borderId="5" xfId="0" applyFont="1" applyFill="1" applyBorder="1" applyAlignment="1">
      <alignment horizontal="center" vertical="center" textRotation="90" wrapText="1"/>
    </xf>
    <xf numFmtId="0" fontId="14" fillId="3" borderId="6" xfId="0" applyFont="1" applyFill="1" applyBorder="1" applyAlignment="1">
      <alignment horizontal="center" vertical="center" textRotation="90" wrapText="1"/>
    </xf>
    <xf numFmtId="0" fontId="13" fillId="3" borderId="17" xfId="0" applyFont="1" applyFill="1" applyBorder="1" applyAlignment="1">
      <alignment horizontal="center" vertical="center" wrapText="1"/>
    </xf>
    <xf numFmtId="0" fontId="0" fillId="3" borderId="18" xfId="0" applyFill="1" applyBorder="1"/>
    <xf numFmtId="0" fontId="0" fillId="3" borderId="19" xfId="0" applyFill="1" applyBorder="1"/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textRotation="90"/>
    </xf>
    <xf numFmtId="0" fontId="14" fillId="3" borderId="3" xfId="0" applyFont="1" applyFill="1" applyBorder="1" applyAlignment="1">
      <alignment horizontal="center" vertical="center" textRotation="90"/>
    </xf>
    <xf numFmtId="0" fontId="14" fillId="3" borderId="30" xfId="0" applyFont="1" applyFill="1" applyBorder="1" applyAlignment="1">
      <alignment horizontal="center" vertical="center" textRotation="90"/>
    </xf>
    <xf numFmtId="0" fontId="13" fillId="3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8" borderId="24" xfId="0" applyFont="1" applyFill="1" applyBorder="1" applyAlignment="1">
      <alignment horizontal="left"/>
    </xf>
    <xf numFmtId="0" fontId="19" fillId="8" borderId="25" xfId="0" applyFont="1" applyFill="1" applyBorder="1" applyAlignment="1">
      <alignment horizontal="left"/>
    </xf>
    <xf numFmtId="0" fontId="19" fillId="8" borderId="26" xfId="0" applyFont="1" applyFill="1" applyBorder="1" applyAlignment="1">
      <alignment horizontal="left"/>
    </xf>
    <xf numFmtId="0" fontId="19" fillId="8" borderId="27" xfId="0" applyFont="1" applyFill="1" applyBorder="1" applyAlignment="1">
      <alignment horizontal="left" wrapText="1"/>
    </xf>
    <xf numFmtId="0" fontId="19" fillId="8" borderId="28" xfId="0" applyFont="1" applyFill="1" applyBorder="1" applyAlignment="1">
      <alignment horizontal="left" wrapText="1"/>
    </xf>
    <xf numFmtId="0" fontId="19" fillId="8" borderId="29" xfId="0" applyFont="1" applyFill="1" applyBorder="1" applyAlignment="1">
      <alignment horizontal="left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 wrapText="1"/>
    </xf>
    <xf numFmtId="0" fontId="26" fillId="3" borderId="33" xfId="0" applyFont="1" applyFill="1" applyBorder="1" applyAlignment="1">
      <alignment horizontal="center" vertical="center" wrapText="1"/>
    </xf>
    <xf numFmtId="0" fontId="26" fillId="3" borderId="36" xfId="0" applyFont="1" applyFill="1" applyBorder="1" applyAlignment="1">
      <alignment horizontal="center" vertical="center" wrapText="1"/>
    </xf>
    <xf numFmtId="0" fontId="26" fillId="3" borderId="38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left"/>
    </xf>
    <xf numFmtId="0" fontId="27" fillId="3" borderId="39" xfId="0" applyFont="1" applyFill="1" applyBorder="1" applyAlignment="1">
      <alignment horizontal="left"/>
    </xf>
    <xf numFmtId="0" fontId="31" fillId="3" borderId="0" xfId="0" applyFont="1" applyFill="1" applyAlignment="1">
      <alignment horizontal="center"/>
    </xf>
    <xf numFmtId="0" fontId="23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4" fillId="3" borderId="4" xfId="0" applyFont="1" applyFill="1" applyBorder="1" applyAlignment="1">
      <alignment horizontal="center" vertical="center" textRotation="90"/>
    </xf>
    <xf numFmtId="0" fontId="14" fillId="3" borderId="5" xfId="0" applyFont="1" applyFill="1" applyBorder="1" applyAlignment="1">
      <alignment horizontal="center" vertical="center" textRotation="90"/>
    </xf>
    <xf numFmtId="0" fontId="14" fillId="3" borderId="6" xfId="0" applyFont="1" applyFill="1" applyBorder="1" applyAlignment="1">
      <alignment horizontal="center" vertical="center" textRotation="90"/>
    </xf>
    <xf numFmtId="0" fontId="13" fillId="3" borderId="17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165" fontId="8" fillId="4" borderId="40" xfId="1" applyNumberFormat="1" applyFont="1" applyFill="1" applyBorder="1" applyAlignment="1">
      <alignment horizontal="center" vertical="center" wrapText="1"/>
    </xf>
    <xf numFmtId="49" fontId="28" fillId="4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</cellXfs>
  <cellStyles count="3">
    <cellStyle name="Comma" xfId="1" builtinId="3" customBuiltin="1"/>
    <cellStyle name="Currency" xfId="2" builtinId="4"/>
    <cellStyle name="Normal" xfId="0" builtinId="0" customBuiltin="1"/>
  </cellStyles>
  <dxfs count="0"/>
  <tableStyles count="0" defaultTableStyle="TableStyleMedium2" defaultPivotStyle="PivotStyleLight16"/>
  <colors>
    <mruColors>
      <color rgb="FFECEEF0"/>
      <color rgb="FF081927"/>
      <color rgb="FF0099DA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0</xdr:rowOff>
    </xdr:from>
    <xdr:to>
      <xdr:col>1</xdr:col>
      <xdr:colOff>2780824</xdr:colOff>
      <xdr:row>3</xdr:row>
      <xdr:rowOff>456951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F2A347-6C3D-41F4-99E7-677B5D653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0"/>
          <a:ext cx="3354705" cy="1314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ortfolio%20Excellence\Price%20Excellence\Price%20Lists\Price%20List%20of%20the%20Future\XProtect\Milestone_Pricelist_XProte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and_Look-up_Sheet"/>
      <sheetName val="Top_Products"/>
      <sheetName val="Master_Price_List"/>
      <sheetName val="4_SKU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F926-EF42-43A6-83CD-D8A30FE548C1}">
  <dimension ref="A1:P136"/>
  <sheetViews>
    <sheetView tabSelected="1" topLeftCell="A79" zoomScale="90" zoomScaleNormal="90" workbookViewId="0">
      <selection activeCell="A110" sqref="A110:G111"/>
    </sheetView>
  </sheetViews>
  <sheetFormatPr defaultRowHeight="15"/>
  <cols>
    <col min="1" max="1" width="9.140625" style="1"/>
    <col min="2" max="2" width="48.42578125" style="1" customWidth="1"/>
    <col min="3" max="3" width="30.140625" style="2" customWidth="1"/>
    <col min="4" max="4" width="50" style="2" customWidth="1"/>
    <col min="5" max="6" width="24.42578125" style="8" customWidth="1"/>
    <col min="7" max="7" width="5.7109375" customWidth="1"/>
    <col min="11" max="11" width="7.7109375" customWidth="1"/>
  </cols>
  <sheetData>
    <row r="1" spans="1:16" ht="22.5" customHeight="1">
      <c r="A1" s="123" t="s">
        <v>141</v>
      </c>
      <c r="B1" s="123"/>
      <c r="C1" s="123"/>
      <c r="D1" s="123"/>
      <c r="E1" s="123"/>
      <c r="F1" s="54"/>
      <c r="G1" s="44"/>
      <c r="H1" s="122" t="s">
        <v>114</v>
      </c>
      <c r="I1" s="122"/>
      <c r="J1" s="122"/>
      <c r="K1" s="122"/>
      <c r="L1" s="122"/>
      <c r="M1" s="122"/>
      <c r="N1" s="122"/>
      <c r="O1" s="122"/>
      <c r="P1" s="122"/>
    </row>
    <row r="2" spans="1:16" ht="22.5" customHeight="1">
      <c r="A2" s="123"/>
      <c r="B2" s="123"/>
      <c r="C2" s="123"/>
      <c r="D2" s="123"/>
      <c r="E2" s="123"/>
      <c r="F2" s="54"/>
      <c r="G2" s="44"/>
      <c r="H2" s="122"/>
      <c r="I2" s="122"/>
      <c r="J2" s="122"/>
      <c r="K2" s="122"/>
      <c r="L2" s="122"/>
      <c r="M2" s="122"/>
      <c r="N2" s="122"/>
      <c r="O2" s="122"/>
      <c r="P2" s="122"/>
    </row>
    <row r="3" spans="1:16" ht="22.5" customHeight="1">
      <c r="A3" s="123"/>
      <c r="B3" s="123"/>
      <c r="C3" s="123"/>
      <c r="D3" s="123"/>
      <c r="E3" s="123"/>
      <c r="F3" s="54"/>
      <c r="G3" s="44"/>
      <c r="H3" s="45"/>
      <c r="I3" s="45"/>
      <c r="J3" s="45"/>
      <c r="K3" s="45"/>
      <c r="L3" s="45"/>
      <c r="M3" s="45"/>
      <c r="N3" s="45"/>
      <c r="O3" s="45"/>
    </row>
    <row r="4" spans="1:16" ht="60" customHeight="1">
      <c r="A4" s="93"/>
      <c r="B4" s="93"/>
      <c r="C4" s="3"/>
      <c r="D4" s="4"/>
      <c r="E4" s="74" t="s">
        <v>0</v>
      </c>
      <c r="F4" s="75" t="s">
        <v>129</v>
      </c>
      <c r="G4" s="44"/>
      <c r="H4" s="45"/>
      <c r="I4" s="45"/>
      <c r="J4" s="45"/>
      <c r="K4" s="45"/>
      <c r="L4" s="45"/>
      <c r="M4" s="45"/>
      <c r="N4" s="45"/>
      <c r="O4" s="45"/>
    </row>
    <row r="5" spans="1:16" ht="22.5" customHeight="1">
      <c r="A5" s="124"/>
      <c r="B5" s="124"/>
      <c r="C5" s="72" t="s">
        <v>1</v>
      </c>
      <c r="D5" s="73" t="s">
        <v>2</v>
      </c>
      <c r="E5" s="130" t="s">
        <v>94</v>
      </c>
      <c r="F5" s="130"/>
      <c r="G5" s="93"/>
      <c r="H5" s="45"/>
      <c r="I5" s="45"/>
      <c r="J5" s="45"/>
      <c r="K5" s="45"/>
      <c r="L5" s="45"/>
      <c r="M5" s="45"/>
      <c r="N5" s="45"/>
      <c r="O5" s="45"/>
    </row>
    <row r="6" spans="1:16" ht="33.75" customHeight="1">
      <c r="A6" s="46"/>
      <c r="B6" s="46"/>
      <c r="C6" s="131" t="s">
        <v>128</v>
      </c>
      <c r="D6" s="131"/>
      <c r="E6" s="131"/>
      <c r="F6" s="131"/>
      <c r="G6" s="93"/>
      <c r="H6" s="45"/>
      <c r="I6" s="45"/>
      <c r="J6" s="45"/>
      <c r="K6" s="45"/>
      <c r="L6" s="45"/>
      <c r="M6" s="45"/>
      <c r="N6" s="45"/>
      <c r="O6" s="45"/>
    </row>
    <row r="7" spans="1:16" ht="19.5" customHeight="1">
      <c r="A7" s="125" t="s">
        <v>3</v>
      </c>
      <c r="B7" s="128" t="s">
        <v>4</v>
      </c>
      <c r="C7" s="17" t="s">
        <v>5</v>
      </c>
      <c r="D7" s="17" t="s">
        <v>6</v>
      </c>
      <c r="E7" s="7">
        <v>29</v>
      </c>
      <c r="F7" s="43"/>
      <c r="G7" s="93"/>
    </row>
    <row r="8" spans="1:16" ht="20.100000000000001" customHeight="1">
      <c r="A8" s="126"/>
      <c r="B8" s="105"/>
      <c r="C8" s="17" t="s">
        <v>7</v>
      </c>
      <c r="D8" s="17" t="s">
        <v>8</v>
      </c>
      <c r="E8" s="7">
        <v>109</v>
      </c>
      <c r="F8" s="43"/>
      <c r="G8" s="93"/>
    </row>
    <row r="9" spans="1:16" ht="20.100000000000001" customHeight="1">
      <c r="A9" s="126"/>
      <c r="B9" s="105"/>
      <c r="C9" s="18" t="s">
        <v>9</v>
      </c>
      <c r="D9" s="18" t="s">
        <v>10</v>
      </c>
      <c r="E9" s="27"/>
      <c r="F9" s="59"/>
      <c r="G9" s="93"/>
    </row>
    <row r="10" spans="1:16" ht="20.100000000000001" customHeight="1">
      <c r="A10" s="126"/>
      <c r="B10" s="105"/>
      <c r="C10" s="57" t="s">
        <v>127</v>
      </c>
      <c r="D10" s="56" t="s">
        <v>134</v>
      </c>
      <c r="E10" s="58">
        <v>1.65</v>
      </c>
      <c r="F10" s="77"/>
      <c r="G10" s="93"/>
    </row>
    <row r="11" spans="1:16" ht="20.100000000000001" customHeight="1">
      <c r="A11" s="126"/>
      <c r="B11" s="105"/>
      <c r="C11" s="21" t="s">
        <v>130</v>
      </c>
      <c r="D11" s="53" t="s">
        <v>136</v>
      </c>
      <c r="E11" s="28"/>
      <c r="F11" s="61">
        <f>E10</f>
        <v>1.65</v>
      </c>
      <c r="G11" s="93"/>
    </row>
    <row r="12" spans="1:16" ht="20.100000000000001" customHeight="1">
      <c r="A12" s="126"/>
      <c r="B12" s="105"/>
      <c r="C12" s="21" t="s">
        <v>131</v>
      </c>
      <c r="D12" s="53" t="s">
        <v>125</v>
      </c>
      <c r="E12" s="28"/>
      <c r="F12" s="61">
        <f>E10*(1-10%)</f>
        <v>1.4849999999999999</v>
      </c>
      <c r="G12" s="93"/>
    </row>
    <row r="13" spans="1:16" ht="20.100000000000001" customHeight="1">
      <c r="A13" s="126"/>
      <c r="B13" s="105"/>
      <c r="C13" s="76" t="s">
        <v>132</v>
      </c>
      <c r="D13" s="29" t="s">
        <v>11</v>
      </c>
      <c r="E13" s="30"/>
      <c r="F13" s="62">
        <f>E10*(1-15%)</f>
        <v>1.4024999999999999</v>
      </c>
      <c r="G13" s="93"/>
    </row>
    <row r="14" spans="1:16" ht="20.100000000000001" customHeight="1">
      <c r="A14" s="126"/>
      <c r="B14" s="105"/>
      <c r="C14" s="76" t="s">
        <v>133</v>
      </c>
      <c r="D14" s="29" t="s">
        <v>126</v>
      </c>
      <c r="E14" s="30"/>
      <c r="F14" s="62">
        <f>E10*(1-20%)</f>
        <v>1.32</v>
      </c>
      <c r="G14" s="93"/>
    </row>
    <row r="15" spans="1:16" ht="20.100000000000001" customHeight="1">
      <c r="A15" s="126"/>
      <c r="B15" s="105"/>
      <c r="C15" s="76" t="s">
        <v>138</v>
      </c>
      <c r="D15" s="29" t="s">
        <v>12</v>
      </c>
      <c r="E15" s="30"/>
      <c r="F15" s="62">
        <f>E10*(1-25%)</f>
        <v>1.2374999999999998</v>
      </c>
      <c r="G15" s="93"/>
    </row>
    <row r="16" spans="1:16" ht="20.100000000000001" customHeight="1">
      <c r="A16" s="126"/>
      <c r="B16" s="105"/>
      <c r="C16" s="78" t="s">
        <v>13</v>
      </c>
      <c r="D16" s="78" t="s">
        <v>14</v>
      </c>
      <c r="E16" s="79"/>
      <c r="F16" s="63"/>
      <c r="G16" s="93"/>
    </row>
    <row r="17" spans="1:11" ht="20.100000000000001" customHeight="1">
      <c r="A17" s="126"/>
      <c r="B17" s="105"/>
      <c r="C17" s="57" t="s">
        <v>127</v>
      </c>
      <c r="D17" s="56" t="s">
        <v>134</v>
      </c>
      <c r="E17" s="58">
        <v>0.65</v>
      </c>
      <c r="F17" s="80"/>
      <c r="G17" s="93"/>
    </row>
    <row r="18" spans="1:11" ht="20.100000000000001" customHeight="1">
      <c r="A18" s="126"/>
      <c r="B18" s="105"/>
      <c r="C18" s="21" t="s">
        <v>130</v>
      </c>
      <c r="D18" s="53" t="s">
        <v>136</v>
      </c>
      <c r="E18" s="30"/>
      <c r="F18" s="62">
        <f>E17</f>
        <v>0.65</v>
      </c>
      <c r="G18" s="93"/>
    </row>
    <row r="19" spans="1:11" ht="20.100000000000001" customHeight="1">
      <c r="A19" s="126"/>
      <c r="B19" s="105"/>
      <c r="C19" s="21" t="s">
        <v>131</v>
      </c>
      <c r="D19" s="53" t="s">
        <v>125</v>
      </c>
      <c r="E19" s="30"/>
      <c r="F19" s="62">
        <f>E17*(1-10%)</f>
        <v>0.58500000000000008</v>
      </c>
      <c r="G19" s="93"/>
    </row>
    <row r="20" spans="1:11" ht="20.100000000000001" customHeight="1">
      <c r="A20" s="126"/>
      <c r="B20" s="105"/>
      <c r="C20" s="76" t="s">
        <v>132</v>
      </c>
      <c r="D20" s="29" t="s">
        <v>11</v>
      </c>
      <c r="E20" s="30"/>
      <c r="F20" s="62">
        <f>E17*(1-15%)</f>
        <v>0.55249999999999999</v>
      </c>
      <c r="G20" s="93"/>
      <c r="K20" s="6"/>
    </row>
    <row r="21" spans="1:11" ht="20.100000000000001" customHeight="1">
      <c r="A21" s="126"/>
      <c r="B21" s="105"/>
      <c r="C21" s="76" t="s">
        <v>133</v>
      </c>
      <c r="D21" s="29" t="s">
        <v>126</v>
      </c>
      <c r="E21" s="30"/>
      <c r="F21" s="62">
        <f>E17*(1-20%)</f>
        <v>0.52</v>
      </c>
      <c r="G21" s="93"/>
    </row>
    <row r="22" spans="1:11" ht="20.100000000000001" customHeight="1">
      <c r="A22" s="126"/>
      <c r="B22" s="129"/>
      <c r="C22" s="81" t="s">
        <v>139</v>
      </c>
      <c r="D22" s="31" t="s">
        <v>12</v>
      </c>
      <c r="E22" s="32"/>
      <c r="F22" s="82">
        <f>E17*(1-25%)</f>
        <v>0.48750000000000004</v>
      </c>
      <c r="G22" s="93"/>
    </row>
    <row r="23" spans="1:11" ht="20.100000000000001" customHeight="1">
      <c r="A23" s="126"/>
      <c r="B23" s="128" t="s">
        <v>15</v>
      </c>
      <c r="C23" s="17" t="s">
        <v>16</v>
      </c>
      <c r="D23" s="17" t="s">
        <v>17</v>
      </c>
      <c r="E23" s="7">
        <v>566</v>
      </c>
      <c r="F23" s="43"/>
      <c r="G23" s="93"/>
    </row>
    <row r="24" spans="1:11" ht="20.100000000000001" customHeight="1">
      <c r="A24" s="126"/>
      <c r="B24" s="105"/>
      <c r="C24" s="17" t="s">
        <v>18</v>
      </c>
      <c r="D24" s="17" t="s">
        <v>19</v>
      </c>
      <c r="E24" s="7">
        <v>192</v>
      </c>
      <c r="F24" s="43"/>
      <c r="G24" s="93"/>
    </row>
    <row r="25" spans="1:11" ht="20.100000000000001" customHeight="1">
      <c r="A25" s="126"/>
      <c r="B25" s="105"/>
      <c r="C25" s="20" t="s">
        <v>20</v>
      </c>
      <c r="D25" s="20" t="s">
        <v>21</v>
      </c>
      <c r="E25" s="33"/>
      <c r="F25" s="84"/>
      <c r="G25" s="93"/>
    </row>
    <row r="26" spans="1:11" ht="20.100000000000001" customHeight="1">
      <c r="A26" s="126"/>
      <c r="B26" s="105"/>
      <c r="C26" s="55" t="s">
        <v>127</v>
      </c>
      <c r="D26" s="56" t="s">
        <v>135</v>
      </c>
      <c r="E26" s="58">
        <v>2.97</v>
      </c>
      <c r="F26" s="60"/>
      <c r="G26" s="93"/>
    </row>
    <row r="27" spans="1:11" ht="20.100000000000001" customHeight="1">
      <c r="A27" s="126"/>
      <c r="B27" s="105"/>
      <c r="C27" s="21" t="s">
        <v>130</v>
      </c>
      <c r="D27" s="53" t="s">
        <v>136</v>
      </c>
      <c r="E27" s="30"/>
      <c r="F27" s="83">
        <f>E26</f>
        <v>2.97</v>
      </c>
      <c r="G27" s="93"/>
    </row>
    <row r="28" spans="1:11" ht="20.100000000000001" customHeight="1">
      <c r="A28" s="126"/>
      <c r="B28" s="105"/>
      <c r="C28" s="21" t="s">
        <v>131</v>
      </c>
      <c r="D28" s="53" t="s">
        <v>125</v>
      </c>
      <c r="E28" s="30"/>
      <c r="F28" s="62">
        <f>E26*(1-10%)</f>
        <v>2.673</v>
      </c>
      <c r="G28" s="93"/>
    </row>
    <row r="29" spans="1:11" ht="20.100000000000001" customHeight="1">
      <c r="A29" s="126"/>
      <c r="B29" s="105"/>
      <c r="C29" s="76" t="s">
        <v>132</v>
      </c>
      <c r="D29" s="29" t="s">
        <v>11</v>
      </c>
      <c r="E29" s="30"/>
      <c r="F29" s="62">
        <f>E26*(1-15%)</f>
        <v>2.5245000000000002</v>
      </c>
      <c r="G29" s="93"/>
    </row>
    <row r="30" spans="1:11" ht="20.100000000000001" customHeight="1">
      <c r="A30" s="126"/>
      <c r="B30" s="105"/>
      <c r="C30" s="76" t="s">
        <v>133</v>
      </c>
      <c r="D30" s="29" t="s">
        <v>126</v>
      </c>
      <c r="E30" s="30"/>
      <c r="F30" s="62">
        <f>E26*(1-20%)</f>
        <v>2.3760000000000003</v>
      </c>
      <c r="G30" s="93"/>
    </row>
    <row r="31" spans="1:11" ht="20.100000000000001" customHeight="1">
      <c r="A31" s="126"/>
      <c r="B31" s="105"/>
      <c r="C31" s="76" t="s">
        <v>140</v>
      </c>
      <c r="D31" s="29" t="s">
        <v>12</v>
      </c>
      <c r="E31" s="30"/>
      <c r="F31" s="62">
        <f>E26*(1-25%)</f>
        <v>2.2275</v>
      </c>
      <c r="G31" s="93"/>
    </row>
    <row r="32" spans="1:11" ht="20.100000000000001" customHeight="1">
      <c r="A32" s="126"/>
      <c r="B32" s="105"/>
      <c r="C32" s="20" t="s">
        <v>22</v>
      </c>
      <c r="D32" s="20" t="s">
        <v>23</v>
      </c>
      <c r="E32" s="33"/>
      <c r="F32" s="64"/>
      <c r="G32" s="93"/>
    </row>
    <row r="33" spans="1:7" ht="20.100000000000001" customHeight="1">
      <c r="A33" s="126"/>
      <c r="B33" s="105"/>
      <c r="C33" s="55" t="s">
        <v>127</v>
      </c>
      <c r="D33" s="56" t="s">
        <v>135</v>
      </c>
      <c r="E33" s="58">
        <v>1.1399999999999999</v>
      </c>
      <c r="F33" s="85"/>
      <c r="G33" s="93"/>
    </row>
    <row r="34" spans="1:7" ht="20.100000000000001" customHeight="1">
      <c r="A34" s="126"/>
      <c r="B34" s="105"/>
      <c r="C34" s="21" t="s">
        <v>130</v>
      </c>
      <c r="D34" s="53" t="s">
        <v>136</v>
      </c>
      <c r="E34" s="30"/>
      <c r="F34" s="83">
        <f>E33</f>
        <v>1.1399999999999999</v>
      </c>
      <c r="G34" s="93"/>
    </row>
    <row r="35" spans="1:7" ht="20.100000000000001" customHeight="1">
      <c r="A35" s="126"/>
      <c r="B35" s="105"/>
      <c r="C35" s="21" t="s">
        <v>131</v>
      </c>
      <c r="D35" s="53" t="s">
        <v>125</v>
      </c>
      <c r="E35" s="30"/>
      <c r="F35" s="62">
        <f>E33*(1-10%)</f>
        <v>1.026</v>
      </c>
      <c r="G35" s="93"/>
    </row>
    <row r="36" spans="1:7" ht="20.100000000000001" customHeight="1">
      <c r="A36" s="126"/>
      <c r="B36" s="105"/>
      <c r="C36" s="76" t="s">
        <v>132</v>
      </c>
      <c r="D36" s="29" t="s">
        <v>11</v>
      </c>
      <c r="E36" s="30"/>
      <c r="F36" s="62">
        <f>E33*(1-15%)</f>
        <v>0.96899999999999986</v>
      </c>
      <c r="G36" s="93"/>
    </row>
    <row r="37" spans="1:7" ht="20.100000000000001" customHeight="1">
      <c r="A37" s="126"/>
      <c r="B37" s="105"/>
      <c r="C37" s="76" t="s">
        <v>133</v>
      </c>
      <c r="D37" s="29" t="s">
        <v>126</v>
      </c>
      <c r="E37" s="30"/>
      <c r="F37" s="62">
        <f>E33*(1-20%)</f>
        <v>0.91199999999999992</v>
      </c>
      <c r="G37" s="93"/>
    </row>
    <row r="38" spans="1:7" ht="20.100000000000001" customHeight="1">
      <c r="A38" s="126"/>
      <c r="B38" s="129"/>
      <c r="C38" s="81" t="s">
        <v>140</v>
      </c>
      <c r="D38" s="31" t="s">
        <v>12</v>
      </c>
      <c r="E38" s="32"/>
      <c r="F38" s="62">
        <f>E33*(1-25%)</f>
        <v>0.85499999999999998</v>
      </c>
      <c r="G38" s="93"/>
    </row>
    <row r="39" spans="1:7" ht="20.100000000000001" customHeight="1">
      <c r="A39" s="126"/>
      <c r="B39" s="128" t="s">
        <v>24</v>
      </c>
      <c r="C39" s="17" t="s">
        <v>25</v>
      </c>
      <c r="D39" s="17" t="s">
        <v>26</v>
      </c>
      <c r="E39" s="7">
        <v>2267</v>
      </c>
      <c r="F39" s="88"/>
      <c r="G39" s="93"/>
    </row>
    <row r="40" spans="1:7" ht="20.100000000000001" customHeight="1">
      <c r="A40" s="126"/>
      <c r="B40" s="105"/>
      <c r="C40" s="17" t="s">
        <v>27</v>
      </c>
      <c r="D40" s="17" t="s">
        <v>28</v>
      </c>
      <c r="E40" s="7">
        <v>305</v>
      </c>
      <c r="F40" s="43"/>
      <c r="G40" s="93"/>
    </row>
    <row r="41" spans="1:7" ht="20.100000000000001" customHeight="1">
      <c r="A41" s="126"/>
      <c r="B41" s="105"/>
      <c r="C41" s="20" t="s">
        <v>29</v>
      </c>
      <c r="D41" s="20" t="s">
        <v>30</v>
      </c>
      <c r="E41" s="33"/>
      <c r="F41" s="64"/>
      <c r="G41" s="93"/>
    </row>
    <row r="42" spans="1:7" ht="20.100000000000001" customHeight="1">
      <c r="A42" s="126"/>
      <c r="B42" s="105"/>
      <c r="C42" s="55" t="s">
        <v>127</v>
      </c>
      <c r="D42" s="56" t="s">
        <v>134</v>
      </c>
      <c r="E42" s="58">
        <v>4.59</v>
      </c>
      <c r="F42" s="85"/>
      <c r="G42" s="93"/>
    </row>
    <row r="43" spans="1:7" ht="20.100000000000001" customHeight="1">
      <c r="A43" s="126"/>
      <c r="B43" s="105"/>
      <c r="C43" s="21" t="s">
        <v>130</v>
      </c>
      <c r="D43" s="19" t="s">
        <v>137</v>
      </c>
      <c r="E43" s="30"/>
      <c r="F43" s="83">
        <f>E42</f>
        <v>4.59</v>
      </c>
      <c r="G43" s="93"/>
    </row>
    <row r="44" spans="1:7" ht="20.100000000000001" customHeight="1">
      <c r="A44" s="126"/>
      <c r="B44" s="105"/>
      <c r="C44" s="21" t="s">
        <v>131</v>
      </c>
      <c r="D44" s="53" t="s">
        <v>125</v>
      </c>
      <c r="E44" s="30"/>
      <c r="F44" s="62">
        <f>E42*(1-10%)</f>
        <v>4.1310000000000002</v>
      </c>
      <c r="G44" s="93"/>
    </row>
    <row r="45" spans="1:7" ht="20.100000000000001" customHeight="1">
      <c r="A45" s="126"/>
      <c r="B45" s="105"/>
      <c r="C45" s="76" t="s">
        <v>132</v>
      </c>
      <c r="D45" s="29" t="s">
        <v>11</v>
      </c>
      <c r="E45" s="30"/>
      <c r="F45" s="62">
        <f>E42*(1-15%)</f>
        <v>3.9015</v>
      </c>
      <c r="G45" s="93"/>
    </row>
    <row r="46" spans="1:7" ht="20.100000000000001" customHeight="1">
      <c r="A46" s="126"/>
      <c r="B46" s="105"/>
      <c r="C46" s="76" t="s">
        <v>133</v>
      </c>
      <c r="D46" s="29" t="s">
        <v>126</v>
      </c>
      <c r="E46" s="30"/>
      <c r="F46" s="62">
        <f>E42*(1-20%)</f>
        <v>3.6720000000000002</v>
      </c>
      <c r="G46" s="93"/>
    </row>
    <row r="47" spans="1:7" ht="20.100000000000001" customHeight="1">
      <c r="A47" s="126"/>
      <c r="B47" s="105"/>
      <c r="C47" s="76" t="s">
        <v>140</v>
      </c>
      <c r="D47" s="29" t="s">
        <v>12</v>
      </c>
      <c r="E47" s="30"/>
      <c r="F47" s="62">
        <f>E42*(1-25%)</f>
        <v>3.4424999999999999</v>
      </c>
      <c r="G47" s="93"/>
    </row>
    <row r="48" spans="1:7" ht="20.100000000000001" customHeight="1">
      <c r="A48" s="126"/>
      <c r="B48" s="105"/>
      <c r="C48" s="20" t="s">
        <v>31</v>
      </c>
      <c r="D48" s="20" t="s">
        <v>32</v>
      </c>
      <c r="E48" s="33"/>
      <c r="F48" s="64"/>
      <c r="G48" s="93"/>
    </row>
    <row r="49" spans="1:7" ht="20.100000000000001" customHeight="1">
      <c r="A49" s="126"/>
      <c r="B49" s="105"/>
      <c r="C49" s="55" t="s">
        <v>127</v>
      </c>
      <c r="D49" s="56" t="s">
        <v>134</v>
      </c>
      <c r="E49" s="58">
        <v>1.79</v>
      </c>
      <c r="F49" s="77"/>
      <c r="G49" s="93"/>
    </row>
    <row r="50" spans="1:7" ht="20.100000000000001" customHeight="1">
      <c r="A50" s="126"/>
      <c r="B50" s="105"/>
      <c r="C50" s="21" t="s">
        <v>130</v>
      </c>
      <c r="D50" s="53" t="s">
        <v>136</v>
      </c>
      <c r="E50" s="30"/>
      <c r="F50" s="62">
        <f>E49</f>
        <v>1.79</v>
      </c>
      <c r="G50" s="93"/>
    </row>
    <row r="51" spans="1:7" ht="20.100000000000001" customHeight="1">
      <c r="A51" s="126"/>
      <c r="B51" s="105"/>
      <c r="C51" s="21" t="s">
        <v>131</v>
      </c>
      <c r="D51" s="53" t="s">
        <v>125</v>
      </c>
      <c r="E51" s="30"/>
      <c r="F51" s="62">
        <f>E49*(1-10%)</f>
        <v>1.611</v>
      </c>
      <c r="G51" s="93"/>
    </row>
    <row r="52" spans="1:7" ht="20.100000000000001" customHeight="1">
      <c r="A52" s="126"/>
      <c r="B52" s="105"/>
      <c r="C52" s="76" t="s">
        <v>132</v>
      </c>
      <c r="D52" s="29" t="s">
        <v>11</v>
      </c>
      <c r="E52" s="30"/>
      <c r="F52" s="62">
        <f>E49*(1-15%)</f>
        <v>1.5215000000000001</v>
      </c>
      <c r="G52" s="93"/>
    </row>
    <row r="53" spans="1:7" ht="20.100000000000001" customHeight="1">
      <c r="A53" s="126"/>
      <c r="B53" s="105"/>
      <c r="C53" s="76" t="s">
        <v>133</v>
      </c>
      <c r="D53" s="29" t="s">
        <v>126</v>
      </c>
      <c r="E53" s="30"/>
      <c r="F53" s="62">
        <f>E49*(1-20%)</f>
        <v>1.4320000000000002</v>
      </c>
      <c r="G53" s="93"/>
    </row>
    <row r="54" spans="1:7" ht="20.100000000000001" customHeight="1">
      <c r="A54" s="126"/>
      <c r="B54" s="129"/>
      <c r="C54" s="81" t="s">
        <v>140</v>
      </c>
      <c r="D54" s="31" t="s">
        <v>12</v>
      </c>
      <c r="E54" s="32"/>
      <c r="F54" s="87">
        <f>E49*(1-25%)</f>
        <v>1.3425</v>
      </c>
      <c r="G54" s="93"/>
    </row>
    <row r="55" spans="1:7" ht="20.100000000000001" customHeight="1">
      <c r="A55" s="126"/>
      <c r="B55" s="128" t="s">
        <v>33</v>
      </c>
      <c r="C55" s="22" t="s">
        <v>34</v>
      </c>
      <c r="D55" s="22" t="s">
        <v>35</v>
      </c>
      <c r="E55" s="9">
        <v>3610</v>
      </c>
      <c r="F55" s="65"/>
      <c r="G55" s="93"/>
    </row>
    <row r="56" spans="1:7" ht="20.100000000000001" customHeight="1">
      <c r="A56" s="126"/>
      <c r="B56" s="105"/>
      <c r="C56" s="22" t="s">
        <v>36</v>
      </c>
      <c r="D56" s="22" t="s">
        <v>37</v>
      </c>
      <c r="E56" s="9">
        <v>373</v>
      </c>
      <c r="F56" s="65"/>
      <c r="G56" s="93"/>
    </row>
    <row r="57" spans="1:7" ht="20.100000000000001" customHeight="1">
      <c r="A57" s="126"/>
      <c r="B57" s="105"/>
      <c r="C57" s="22" t="s">
        <v>38</v>
      </c>
      <c r="D57" s="22" t="s">
        <v>39</v>
      </c>
      <c r="E57" s="10">
        <v>77.760000000000005</v>
      </c>
      <c r="F57" s="66"/>
      <c r="G57" s="93"/>
    </row>
    <row r="58" spans="1:7" ht="20.100000000000001" customHeight="1">
      <c r="A58" s="126"/>
      <c r="B58" s="105"/>
      <c r="C58" s="20" t="s">
        <v>40</v>
      </c>
      <c r="D58" s="20" t="s">
        <v>41</v>
      </c>
      <c r="E58" s="33"/>
      <c r="F58" s="64"/>
      <c r="G58" s="93"/>
    </row>
    <row r="59" spans="1:7" ht="20.100000000000001" customHeight="1">
      <c r="A59" s="126"/>
      <c r="B59" s="105"/>
      <c r="C59" s="55" t="s">
        <v>127</v>
      </c>
      <c r="D59" s="56" t="s">
        <v>134</v>
      </c>
      <c r="E59" s="58">
        <v>5.67</v>
      </c>
      <c r="F59" s="77"/>
      <c r="G59" s="93"/>
    </row>
    <row r="60" spans="1:7" ht="20.100000000000001" customHeight="1">
      <c r="A60" s="126"/>
      <c r="B60" s="105"/>
      <c r="C60" s="21" t="s">
        <v>130</v>
      </c>
      <c r="D60" s="19" t="s">
        <v>137</v>
      </c>
      <c r="E60" s="30"/>
      <c r="F60" s="62">
        <f>E59</f>
        <v>5.67</v>
      </c>
      <c r="G60" s="93"/>
    </row>
    <row r="61" spans="1:7" ht="20.100000000000001" customHeight="1">
      <c r="A61" s="126"/>
      <c r="B61" s="105"/>
      <c r="C61" s="21" t="s">
        <v>131</v>
      </c>
      <c r="D61" s="53" t="s">
        <v>125</v>
      </c>
      <c r="E61" s="30"/>
      <c r="F61" s="62">
        <f>E59*(1-10%)</f>
        <v>5.1029999999999998</v>
      </c>
      <c r="G61" s="93"/>
    </row>
    <row r="62" spans="1:7" ht="20.100000000000001" customHeight="1">
      <c r="A62" s="126"/>
      <c r="B62" s="105"/>
      <c r="C62" s="76" t="s">
        <v>132</v>
      </c>
      <c r="D62" s="29" t="s">
        <v>11</v>
      </c>
      <c r="E62" s="30"/>
      <c r="F62" s="62">
        <f>E59*(1-15%)</f>
        <v>4.8194999999999997</v>
      </c>
      <c r="G62" s="93"/>
    </row>
    <row r="63" spans="1:7" ht="20.100000000000001" customHeight="1">
      <c r="A63" s="126"/>
      <c r="B63" s="105"/>
      <c r="C63" s="76" t="s">
        <v>133</v>
      </c>
      <c r="D63" s="29" t="s">
        <v>126</v>
      </c>
      <c r="E63" s="30"/>
      <c r="F63" s="62">
        <f>E59*(1-20%)</f>
        <v>4.5360000000000005</v>
      </c>
      <c r="G63" s="93"/>
    </row>
    <row r="64" spans="1:7" ht="20.100000000000001" customHeight="1">
      <c r="A64" s="126"/>
      <c r="B64" s="105"/>
      <c r="C64" s="76" t="s">
        <v>140</v>
      </c>
      <c r="D64" s="29" t="s">
        <v>12</v>
      </c>
      <c r="E64" s="30"/>
      <c r="F64" s="62">
        <f>E59*(1-25%)</f>
        <v>4.2524999999999995</v>
      </c>
      <c r="G64" s="93"/>
    </row>
    <row r="65" spans="1:7" ht="20.100000000000001" customHeight="1">
      <c r="A65" s="126"/>
      <c r="B65" s="105"/>
      <c r="C65" s="20" t="s">
        <v>42</v>
      </c>
      <c r="D65" s="20" t="s">
        <v>43</v>
      </c>
      <c r="E65" s="33"/>
      <c r="F65" s="64"/>
      <c r="G65" s="93"/>
    </row>
    <row r="66" spans="1:7" ht="20.100000000000001" customHeight="1">
      <c r="A66" s="126"/>
      <c r="B66" s="105"/>
      <c r="C66" s="55" t="s">
        <v>127</v>
      </c>
      <c r="D66" s="56" t="s">
        <v>134</v>
      </c>
      <c r="E66" s="58">
        <v>2.2199999999999998</v>
      </c>
      <c r="F66" s="77"/>
      <c r="G66" s="93"/>
    </row>
    <row r="67" spans="1:7" ht="20.100000000000001" customHeight="1">
      <c r="A67" s="126"/>
      <c r="B67" s="105"/>
      <c r="C67" s="21" t="s">
        <v>130</v>
      </c>
      <c r="D67" s="53" t="s">
        <v>136</v>
      </c>
      <c r="E67" s="30"/>
      <c r="F67" s="62">
        <f>E66</f>
        <v>2.2199999999999998</v>
      </c>
      <c r="G67" s="93"/>
    </row>
    <row r="68" spans="1:7" ht="20.100000000000001" customHeight="1">
      <c r="A68" s="126"/>
      <c r="B68" s="105"/>
      <c r="C68" s="21" t="s">
        <v>131</v>
      </c>
      <c r="D68" s="53" t="s">
        <v>125</v>
      </c>
      <c r="E68" s="30"/>
      <c r="F68" s="62">
        <f>E66*(1-10%)</f>
        <v>1.9979999999999998</v>
      </c>
      <c r="G68" s="93"/>
    </row>
    <row r="69" spans="1:7" ht="20.100000000000001" customHeight="1">
      <c r="A69" s="126"/>
      <c r="B69" s="105"/>
      <c r="C69" s="76" t="s">
        <v>132</v>
      </c>
      <c r="D69" s="29" t="s">
        <v>11</v>
      </c>
      <c r="E69" s="30"/>
      <c r="F69" s="62">
        <f>E66*(1-15%)</f>
        <v>1.8869999999999998</v>
      </c>
      <c r="G69" s="93"/>
    </row>
    <row r="70" spans="1:7" ht="20.100000000000001" customHeight="1">
      <c r="A70" s="126"/>
      <c r="B70" s="105"/>
      <c r="C70" s="76" t="s">
        <v>133</v>
      </c>
      <c r="D70" s="29" t="s">
        <v>126</v>
      </c>
      <c r="E70" s="30"/>
      <c r="F70" s="62">
        <f>E66*(1-20%)</f>
        <v>1.7759999999999998</v>
      </c>
      <c r="G70" s="93"/>
    </row>
    <row r="71" spans="1:7" ht="20.100000000000001" customHeight="1">
      <c r="A71" s="127"/>
      <c r="B71" s="129"/>
      <c r="C71" s="81" t="s">
        <v>139</v>
      </c>
      <c r="D71" s="31" t="s">
        <v>12</v>
      </c>
      <c r="E71" s="32"/>
      <c r="F71" s="62">
        <f>E66*(1-25%)</f>
        <v>1.6649999999999998</v>
      </c>
      <c r="G71" s="93"/>
    </row>
    <row r="72" spans="1:7" ht="20.100000000000001" customHeight="1">
      <c r="A72" s="102" t="s">
        <v>113</v>
      </c>
      <c r="B72" s="39" t="s">
        <v>44</v>
      </c>
      <c r="C72" s="34" t="s">
        <v>45</v>
      </c>
      <c r="D72" s="23" t="s">
        <v>46</v>
      </c>
      <c r="E72" s="11">
        <v>220</v>
      </c>
      <c r="F72" s="86"/>
      <c r="G72" s="93"/>
    </row>
    <row r="73" spans="1:7" ht="20.100000000000001" customHeight="1">
      <c r="A73" s="103"/>
      <c r="B73" s="39" t="s">
        <v>47</v>
      </c>
      <c r="C73" s="35" t="s">
        <v>48</v>
      </c>
      <c r="D73" s="25" t="s">
        <v>49</v>
      </c>
      <c r="E73" s="12">
        <v>499</v>
      </c>
      <c r="F73" s="43"/>
      <c r="G73" s="93"/>
    </row>
    <row r="74" spans="1:7" ht="20.100000000000001" customHeight="1">
      <c r="A74" s="103"/>
      <c r="B74" s="39" t="s">
        <v>50</v>
      </c>
      <c r="C74" s="35" t="s">
        <v>51</v>
      </c>
      <c r="D74" s="25" t="s">
        <v>52</v>
      </c>
      <c r="E74" s="12">
        <v>15799</v>
      </c>
      <c r="F74" s="43"/>
      <c r="G74" s="93"/>
    </row>
    <row r="75" spans="1:7" ht="20.100000000000001" customHeight="1">
      <c r="A75" s="103"/>
      <c r="B75" s="39" t="s">
        <v>53</v>
      </c>
      <c r="C75" s="35" t="s">
        <v>54</v>
      </c>
      <c r="D75" s="25" t="s">
        <v>55</v>
      </c>
      <c r="E75" s="12">
        <v>9975</v>
      </c>
      <c r="F75" s="43"/>
      <c r="G75" s="93"/>
    </row>
    <row r="76" spans="1:7" ht="20.100000000000001" customHeight="1">
      <c r="A76" s="103"/>
      <c r="B76" s="105" t="s">
        <v>56</v>
      </c>
      <c r="C76" t="s">
        <v>57</v>
      </c>
      <c r="D76" t="s">
        <v>58</v>
      </c>
      <c r="E76" s="7">
        <v>300</v>
      </c>
      <c r="F76" s="43"/>
      <c r="G76" s="93"/>
    </row>
    <row r="77" spans="1:7" ht="20.100000000000001" customHeight="1">
      <c r="A77" s="103"/>
      <c r="B77" s="106"/>
      <c r="C77" t="s">
        <v>59</v>
      </c>
      <c r="D77" t="s">
        <v>60</v>
      </c>
      <c r="E77" s="7">
        <v>1295</v>
      </c>
      <c r="F77" s="43"/>
      <c r="G77" s="93"/>
    </row>
    <row r="78" spans="1:7" ht="20.100000000000001" customHeight="1">
      <c r="A78" s="103"/>
      <c r="B78" s="107"/>
      <c r="C78" s="36" t="s">
        <v>61</v>
      </c>
      <c r="D78" s="24" t="s">
        <v>62</v>
      </c>
      <c r="E78" s="13">
        <v>645</v>
      </c>
      <c r="F78" s="43"/>
      <c r="G78" s="93"/>
    </row>
    <row r="79" spans="1:7" ht="20.100000000000001" customHeight="1">
      <c r="A79" s="103"/>
      <c r="B79" s="40" t="s">
        <v>63</v>
      </c>
      <c r="C79" s="35" t="s">
        <v>64</v>
      </c>
      <c r="D79" s="25" t="s">
        <v>65</v>
      </c>
      <c r="E79" s="12">
        <v>7650</v>
      </c>
      <c r="F79" s="43"/>
      <c r="G79" s="93"/>
    </row>
    <row r="80" spans="1:7" ht="20.100000000000001" customHeight="1">
      <c r="A80" s="103"/>
      <c r="B80" s="97" t="s">
        <v>66</v>
      </c>
      <c r="C80" s="2" t="s">
        <v>67</v>
      </c>
      <c r="D80" s="2" t="s">
        <v>68</v>
      </c>
      <c r="E80" s="14">
        <v>299</v>
      </c>
      <c r="F80" s="43"/>
      <c r="G80" s="93"/>
    </row>
    <row r="81" spans="1:13" ht="20.100000000000001" customHeight="1">
      <c r="A81" s="103"/>
      <c r="B81" s="100"/>
      <c r="C81" s="37" t="s">
        <v>69</v>
      </c>
      <c r="D81" s="26" t="s">
        <v>70</v>
      </c>
      <c r="E81" s="16">
        <v>269</v>
      </c>
      <c r="F81" s="67"/>
      <c r="G81" s="93"/>
    </row>
    <row r="82" spans="1:13" ht="20.100000000000001" customHeight="1">
      <c r="A82" s="103"/>
      <c r="B82" s="97" t="s">
        <v>71</v>
      </c>
      <c r="C82" t="s">
        <v>72</v>
      </c>
      <c r="D82" t="s">
        <v>73</v>
      </c>
      <c r="E82" s="15">
        <v>129</v>
      </c>
      <c r="F82" s="67"/>
      <c r="G82" s="93"/>
    </row>
    <row r="83" spans="1:13" ht="20.100000000000001" customHeight="1">
      <c r="A83" s="103"/>
      <c r="B83" s="100"/>
      <c r="C83" s="36" t="s">
        <v>74</v>
      </c>
      <c r="D83" s="24" t="s">
        <v>75</v>
      </c>
      <c r="E83" s="13">
        <v>39</v>
      </c>
      <c r="F83" s="43"/>
      <c r="G83" s="93"/>
    </row>
    <row r="84" spans="1:13" ht="20.100000000000001" customHeight="1">
      <c r="A84" s="103"/>
      <c r="B84" s="116" t="s">
        <v>122</v>
      </c>
      <c r="C84" s="49" t="s">
        <v>119</v>
      </c>
      <c r="D84" s="50" t="s">
        <v>123</v>
      </c>
      <c r="E84" s="51">
        <v>0</v>
      </c>
      <c r="F84" s="68"/>
      <c r="G84" s="93"/>
    </row>
    <row r="85" spans="1:13" ht="20.100000000000001" customHeight="1">
      <c r="A85" s="103"/>
      <c r="B85" s="117"/>
      <c r="C85" s="52" t="s">
        <v>120</v>
      </c>
      <c r="D85" s="17" t="s">
        <v>124</v>
      </c>
      <c r="E85" s="51">
        <v>89</v>
      </c>
      <c r="F85" s="68"/>
      <c r="G85" s="93"/>
    </row>
    <row r="86" spans="1:13" ht="15.75" customHeight="1">
      <c r="A86" s="103"/>
      <c r="B86" s="118"/>
      <c r="C86" s="119" t="s">
        <v>121</v>
      </c>
      <c r="D86" s="119"/>
      <c r="E86" s="120"/>
      <c r="F86" s="69"/>
      <c r="G86" s="93"/>
    </row>
    <row r="87" spans="1:13" ht="20.100000000000001" customHeight="1">
      <c r="A87" s="103"/>
      <c r="B87" s="97" t="s">
        <v>112</v>
      </c>
      <c r="C87" t="s">
        <v>76</v>
      </c>
      <c r="D87" t="s">
        <v>77</v>
      </c>
      <c r="E87" s="7">
        <v>4500</v>
      </c>
      <c r="F87" s="43"/>
      <c r="G87" s="93"/>
    </row>
    <row r="88" spans="1:13" ht="20.100000000000001" customHeight="1">
      <c r="A88" s="103"/>
      <c r="B88" s="100"/>
      <c r="C88" s="36" t="s">
        <v>78</v>
      </c>
      <c r="D88" s="24" t="s">
        <v>79</v>
      </c>
      <c r="E88" s="13">
        <v>300</v>
      </c>
      <c r="F88" s="43"/>
      <c r="G88" s="93"/>
    </row>
    <row r="89" spans="1:13" ht="20.100000000000001" customHeight="1">
      <c r="A89" s="103"/>
      <c r="B89" s="97" t="s">
        <v>111</v>
      </c>
      <c r="C89" t="s">
        <v>96</v>
      </c>
      <c r="D89" t="s">
        <v>102</v>
      </c>
      <c r="E89" s="7">
        <v>7700</v>
      </c>
      <c r="F89" s="43"/>
      <c r="G89" s="93"/>
      <c r="H89" s="41"/>
      <c r="I89" s="41"/>
      <c r="J89" s="41"/>
      <c r="K89" s="41"/>
      <c r="L89" s="41"/>
      <c r="M89" s="41"/>
    </row>
    <row r="90" spans="1:13" ht="20.100000000000001" customHeight="1">
      <c r="A90" s="103"/>
      <c r="B90" s="100"/>
      <c r="C90" t="s">
        <v>95</v>
      </c>
      <c r="D90" t="s">
        <v>103</v>
      </c>
      <c r="E90" s="7">
        <v>52500</v>
      </c>
      <c r="F90" s="43"/>
      <c r="G90" s="93"/>
      <c r="H90" s="41"/>
      <c r="I90" s="41"/>
      <c r="J90" s="41"/>
      <c r="K90" s="41"/>
      <c r="L90" s="41"/>
      <c r="M90" s="41"/>
    </row>
    <row r="91" spans="1:13" ht="20.100000000000001" customHeight="1">
      <c r="A91" s="103"/>
      <c r="B91" s="100"/>
      <c r="C91" t="s">
        <v>97</v>
      </c>
      <c r="D91" t="s">
        <v>104</v>
      </c>
      <c r="E91" s="7">
        <v>17500</v>
      </c>
      <c r="F91" s="43"/>
      <c r="G91" s="93"/>
      <c r="H91" s="41"/>
      <c r="I91" s="41"/>
      <c r="J91" s="41"/>
      <c r="K91" s="41"/>
      <c r="L91" s="41"/>
      <c r="M91" s="41"/>
    </row>
    <row r="92" spans="1:13" ht="20.100000000000001" customHeight="1">
      <c r="A92" s="103"/>
      <c r="B92" s="100"/>
      <c r="C92" t="s">
        <v>98</v>
      </c>
      <c r="D92" t="s">
        <v>105</v>
      </c>
      <c r="E92" s="7">
        <v>2310</v>
      </c>
      <c r="F92" s="43"/>
      <c r="G92" s="93"/>
      <c r="H92" s="41"/>
      <c r="I92" s="41"/>
      <c r="J92" s="41"/>
      <c r="K92" s="41"/>
      <c r="L92" s="41"/>
      <c r="M92" s="41"/>
    </row>
    <row r="93" spans="1:13" ht="20.100000000000001" customHeight="1">
      <c r="A93" s="103"/>
      <c r="B93" s="100"/>
      <c r="C93" t="s">
        <v>99</v>
      </c>
      <c r="D93" t="s">
        <v>106</v>
      </c>
      <c r="E93" s="7">
        <v>35000</v>
      </c>
      <c r="F93" s="43"/>
      <c r="G93" s="93"/>
      <c r="H93" s="41"/>
      <c r="I93" s="41"/>
      <c r="J93" s="41"/>
      <c r="K93" s="41"/>
      <c r="L93" s="41"/>
      <c r="M93" s="41"/>
    </row>
    <row r="94" spans="1:13" ht="20.100000000000001" customHeight="1">
      <c r="A94" s="103"/>
      <c r="B94" s="100"/>
      <c r="C94" t="s">
        <v>100</v>
      </c>
      <c r="D94" t="s">
        <v>107</v>
      </c>
      <c r="E94" s="7">
        <v>14000</v>
      </c>
      <c r="F94" s="43"/>
      <c r="G94" s="93"/>
      <c r="H94" s="41"/>
      <c r="I94" s="41"/>
      <c r="J94" s="41"/>
      <c r="K94" s="41"/>
      <c r="L94" s="41"/>
      <c r="M94" s="41"/>
    </row>
    <row r="95" spans="1:13" ht="20.100000000000001" customHeight="1">
      <c r="A95" s="103"/>
      <c r="B95" s="100"/>
      <c r="C95" t="s">
        <v>101</v>
      </c>
      <c r="D95" t="s">
        <v>108</v>
      </c>
      <c r="E95" s="7">
        <v>15000</v>
      </c>
      <c r="F95" s="43"/>
      <c r="G95" s="93"/>
      <c r="H95" s="41"/>
      <c r="I95" s="41"/>
      <c r="J95" s="41"/>
      <c r="K95" s="41"/>
      <c r="L95" s="41"/>
      <c r="M95" s="41"/>
    </row>
    <row r="96" spans="1:13" s="38" customFormat="1" ht="25.5" customHeight="1">
      <c r="A96" s="103"/>
      <c r="B96" s="100"/>
      <c r="C96" s="108" t="s">
        <v>109</v>
      </c>
      <c r="D96" s="109"/>
      <c r="E96" s="110"/>
      <c r="F96" s="70"/>
      <c r="G96" s="93"/>
    </row>
    <row r="97" spans="1:7" s="38" customFormat="1" ht="27" customHeight="1">
      <c r="A97" s="104"/>
      <c r="B97" s="101"/>
      <c r="C97" s="111" t="s">
        <v>110</v>
      </c>
      <c r="D97" s="112"/>
      <c r="E97" s="113"/>
      <c r="F97" s="71"/>
      <c r="G97" s="93"/>
    </row>
    <row r="98" spans="1:7" ht="20.100000000000001" customHeight="1">
      <c r="A98" s="94" t="s">
        <v>80</v>
      </c>
      <c r="B98" s="97" t="s">
        <v>81</v>
      </c>
      <c r="C98" t="s">
        <v>82</v>
      </c>
      <c r="D98" t="s">
        <v>83</v>
      </c>
      <c r="E98" s="7">
        <v>125</v>
      </c>
      <c r="F98" s="43"/>
      <c r="G98" s="93"/>
    </row>
    <row r="99" spans="1:7" ht="20.100000000000001" customHeight="1">
      <c r="A99" s="95"/>
      <c r="B99" s="98"/>
      <c r="C99" t="s">
        <v>84</v>
      </c>
      <c r="D99" t="s">
        <v>85</v>
      </c>
      <c r="E99" s="7">
        <v>250</v>
      </c>
      <c r="F99" s="43"/>
      <c r="G99" s="93"/>
    </row>
    <row r="100" spans="1:7" ht="20.100000000000001" customHeight="1">
      <c r="A100" s="95"/>
      <c r="B100" s="98"/>
      <c r="C100" t="s">
        <v>145</v>
      </c>
      <c r="D100" t="s">
        <v>86</v>
      </c>
      <c r="E100" s="7" t="s">
        <v>144</v>
      </c>
      <c r="F100" s="43"/>
      <c r="G100" s="93"/>
    </row>
    <row r="101" spans="1:7" ht="20.100000000000001" customHeight="1">
      <c r="A101" s="95"/>
      <c r="B101" s="98"/>
      <c r="C101" t="s">
        <v>146</v>
      </c>
      <c r="D101" t="s">
        <v>87</v>
      </c>
      <c r="E101" s="7" t="s">
        <v>144</v>
      </c>
      <c r="F101" s="43"/>
      <c r="G101" s="93"/>
    </row>
    <row r="102" spans="1:7" ht="20.100000000000001" customHeight="1">
      <c r="A102" s="95"/>
      <c r="B102" s="98"/>
      <c r="C102" t="s">
        <v>147</v>
      </c>
      <c r="D102" t="s">
        <v>88</v>
      </c>
      <c r="E102" s="7" t="s">
        <v>144</v>
      </c>
      <c r="F102" s="43"/>
      <c r="G102" s="93"/>
    </row>
    <row r="103" spans="1:7" ht="20.100000000000001" customHeight="1">
      <c r="A103" s="95"/>
      <c r="B103" s="98"/>
      <c r="C103" t="s">
        <v>148</v>
      </c>
      <c r="D103" t="s">
        <v>89</v>
      </c>
      <c r="E103" s="7" t="s">
        <v>144</v>
      </c>
      <c r="F103" s="43"/>
      <c r="G103" s="93"/>
    </row>
    <row r="104" spans="1:7" ht="20.100000000000001" customHeight="1">
      <c r="A104" s="95"/>
      <c r="B104" s="98"/>
      <c r="C104" t="s">
        <v>149</v>
      </c>
      <c r="D104" t="s">
        <v>90</v>
      </c>
      <c r="E104" s="7" t="s">
        <v>144</v>
      </c>
      <c r="F104" s="43"/>
      <c r="G104" s="93"/>
    </row>
    <row r="105" spans="1:7" ht="20.100000000000001" customHeight="1">
      <c r="A105" s="95"/>
      <c r="B105" s="98"/>
      <c r="C105" t="s">
        <v>150</v>
      </c>
      <c r="D105" t="s">
        <v>91</v>
      </c>
      <c r="E105" s="7" t="s">
        <v>144</v>
      </c>
      <c r="F105" s="43"/>
      <c r="G105" s="93"/>
    </row>
    <row r="106" spans="1:7" ht="20.100000000000001" customHeight="1">
      <c r="A106" s="95"/>
      <c r="B106" s="98"/>
      <c r="C106" t="s">
        <v>151</v>
      </c>
      <c r="D106" t="s">
        <v>92</v>
      </c>
      <c r="E106" s="7" t="s">
        <v>144</v>
      </c>
      <c r="F106" s="43"/>
      <c r="G106" s="93"/>
    </row>
    <row r="107" spans="1:7" ht="20.100000000000001" customHeight="1">
      <c r="A107" s="96"/>
      <c r="B107" s="99"/>
      <c r="C107" s="36" t="s">
        <v>152</v>
      </c>
      <c r="D107" s="24" t="s">
        <v>93</v>
      </c>
      <c r="E107" s="13" t="s">
        <v>144</v>
      </c>
      <c r="F107" s="43"/>
      <c r="G107" s="93"/>
    </row>
    <row r="108" spans="1:7" ht="20.100000000000001" customHeight="1">
      <c r="A108" s="114" t="s">
        <v>115</v>
      </c>
      <c r="B108" s="115"/>
      <c r="C108" s="47" t="s">
        <v>116</v>
      </c>
      <c r="D108" s="47" t="s">
        <v>117</v>
      </c>
      <c r="E108" s="89" t="s">
        <v>118</v>
      </c>
      <c r="F108" s="48"/>
      <c r="G108" s="46"/>
    </row>
    <row r="109" spans="1:7" ht="20.100000000000001" customHeight="1">
      <c r="A109" s="121"/>
      <c r="B109" s="121"/>
      <c r="C109" s="121"/>
      <c r="D109" s="121"/>
      <c r="E109" s="121"/>
      <c r="F109" s="90"/>
      <c r="G109" s="91"/>
    </row>
    <row r="110" spans="1:7" ht="20.100000000000001" customHeight="1">
      <c r="A110" s="92" t="s">
        <v>142</v>
      </c>
      <c r="B110" s="132" t="s">
        <v>143</v>
      </c>
      <c r="C110" s="133"/>
      <c r="D110" s="133"/>
      <c r="E110" s="133"/>
      <c r="F110" s="133"/>
      <c r="G110" s="91"/>
    </row>
    <row r="111" spans="1:7" ht="20.100000000000001" customHeight="1">
      <c r="A111" s="92"/>
      <c r="B111" s="90"/>
      <c r="C111" s="90"/>
      <c r="D111" s="90"/>
      <c r="E111" s="90"/>
      <c r="F111" s="90"/>
      <c r="G111" s="91"/>
    </row>
    <row r="112" spans="1:7" ht="20.100000000000001" customHeight="1">
      <c r="A112" s="42"/>
      <c r="B112"/>
      <c r="C112"/>
      <c r="D112"/>
      <c r="E112" s="43"/>
      <c r="F112" s="43"/>
    </row>
    <row r="113" spans="1:13" ht="20.100000000000001" customHeight="1">
      <c r="A113" s="42"/>
      <c r="B113"/>
      <c r="C113"/>
      <c r="D113"/>
      <c r="E113" s="43"/>
      <c r="F113" s="43"/>
    </row>
    <row r="114" spans="1:13" ht="20.100000000000001" customHeight="1">
      <c r="A114" s="42"/>
      <c r="B114"/>
      <c r="C114"/>
      <c r="D114"/>
      <c r="E114" s="43"/>
      <c r="F114" s="43"/>
    </row>
    <row r="115" spans="1:13" ht="20.100000000000001" customHeight="1">
      <c r="A115" s="42"/>
      <c r="B115"/>
      <c r="C115"/>
      <c r="D115"/>
      <c r="E115" s="43"/>
      <c r="F115" s="43"/>
    </row>
    <row r="116" spans="1:13" ht="20.100000000000001" customHeight="1">
      <c r="A116" s="42"/>
      <c r="B116"/>
      <c r="C116"/>
      <c r="D116"/>
      <c r="E116" s="43"/>
      <c r="F116" s="43"/>
    </row>
    <row r="117" spans="1:13" ht="20.100000000000001" customHeight="1">
      <c r="A117" s="42"/>
      <c r="B117"/>
      <c r="C117"/>
      <c r="D117"/>
      <c r="E117" s="43"/>
      <c r="F117" s="43"/>
    </row>
    <row r="118" spans="1:13" ht="20.100000000000001" customHeight="1">
      <c r="A118" s="42"/>
      <c r="B118"/>
      <c r="C118"/>
      <c r="D118" s="5"/>
      <c r="E118" s="43"/>
      <c r="F118" s="43"/>
    </row>
    <row r="119" spans="1:13" ht="20.100000000000001" customHeight="1">
      <c r="A119" s="42"/>
      <c r="B119"/>
      <c r="C119"/>
      <c r="D119" s="5"/>
      <c r="E119" s="43"/>
      <c r="F119" s="43"/>
    </row>
    <row r="120" spans="1:13" ht="20.100000000000001" customHeight="1">
      <c r="A120"/>
      <c r="B120"/>
    </row>
    <row r="121" spans="1:13" ht="20.100000000000001" customHeight="1">
      <c r="A121"/>
      <c r="B121"/>
    </row>
    <row r="122" spans="1:13" ht="20.100000000000001" customHeight="1">
      <c r="A122"/>
      <c r="B122"/>
    </row>
    <row r="123" spans="1:13" ht="20.100000000000001" customHeight="1">
      <c r="A123"/>
      <c r="B123"/>
    </row>
    <row r="124" spans="1:13" ht="20.100000000000001" customHeight="1">
      <c r="A124"/>
      <c r="B124"/>
    </row>
    <row r="125" spans="1:13" ht="20.100000000000001" customHeight="1">
      <c r="A125"/>
      <c r="B125"/>
    </row>
    <row r="126" spans="1:13" ht="20.100000000000001" customHeight="1"/>
    <row r="127" spans="1:13" s="1" customFormat="1" ht="20.100000000000001" customHeight="1">
      <c r="C127" s="2"/>
      <c r="D127" s="2"/>
      <c r="E127" s="8"/>
      <c r="F127" s="8"/>
      <c r="G127"/>
      <c r="H127"/>
      <c r="I127"/>
      <c r="J127"/>
      <c r="K127"/>
      <c r="L127"/>
      <c r="M127"/>
    </row>
    <row r="128" spans="1:13" s="1" customFormat="1" ht="20.100000000000001" customHeight="1">
      <c r="C128" s="2"/>
      <c r="D128" s="2"/>
      <c r="E128" s="8"/>
      <c r="F128" s="8"/>
      <c r="G128"/>
      <c r="H128"/>
      <c r="I128"/>
      <c r="J128"/>
      <c r="K128"/>
      <c r="L128"/>
      <c r="M128"/>
    </row>
    <row r="129" spans="3:13" s="1" customFormat="1" ht="20.100000000000001" customHeight="1">
      <c r="C129" s="2"/>
      <c r="D129" s="2"/>
      <c r="E129" s="8"/>
      <c r="F129" s="8"/>
      <c r="G129"/>
      <c r="H129"/>
      <c r="I129"/>
      <c r="J129"/>
      <c r="K129"/>
      <c r="L129"/>
      <c r="M129"/>
    </row>
    <row r="130" spans="3:13" s="1" customFormat="1" ht="20.100000000000001" customHeight="1">
      <c r="C130" s="2"/>
      <c r="D130" s="2"/>
      <c r="E130" s="8"/>
      <c r="F130" s="8"/>
      <c r="G130"/>
      <c r="H130"/>
      <c r="I130"/>
      <c r="J130"/>
      <c r="K130"/>
      <c r="L130"/>
      <c r="M130"/>
    </row>
    <row r="131" spans="3:13" s="1" customFormat="1" ht="20.100000000000001" customHeight="1">
      <c r="C131" s="2"/>
      <c r="D131" s="2"/>
      <c r="E131" s="8"/>
      <c r="F131" s="8"/>
      <c r="G131"/>
      <c r="H131"/>
      <c r="I131"/>
      <c r="J131"/>
      <c r="K131"/>
      <c r="L131"/>
      <c r="M131"/>
    </row>
    <row r="132" spans="3:13" s="1" customFormat="1" ht="20.100000000000001" customHeight="1">
      <c r="C132" s="2"/>
      <c r="D132" s="2"/>
      <c r="E132" s="8"/>
      <c r="F132" s="8"/>
      <c r="G132"/>
      <c r="H132"/>
      <c r="I132"/>
      <c r="J132"/>
      <c r="K132"/>
      <c r="L132"/>
      <c r="M132"/>
    </row>
    <row r="133" spans="3:13" s="1" customFormat="1" ht="20.100000000000001" customHeight="1">
      <c r="C133" s="2"/>
      <c r="D133" s="2"/>
      <c r="E133" s="8"/>
      <c r="F133" s="8"/>
      <c r="G133"/>
      <c r="H133"/>
      <c r="I133"/>
      <c r="J133"/>
      <c r="K133"/>
      <c r="L133"/>
      <c r="M133"/>
    </row>
    <row r="134" spans="3:13" s="1" customFormat="1" ht="20.100000000000001" customHeight="1">
      <c r="C134" s="2"/>
      <c r="D134" s="2"/>
      <c r="E134" s="8"/>
      <c r="F134" s="8"/>
      <c r="G134"/>
      <c r="H134"/>
      <c r="I134"/>
      <c r="J134"/>
      <c r="K134"/>
      <c r="L134"/>
      <c r="M134"/>
    </row>
    <row r="135" spans="3:13" s="1" customFormat="1" ht="20.100000000000001" customHeight="1">
      <c r="C135" s="2"/>
      <c r="D135" s="2"/>
      <c r="E135" s="8"/>
      <c r="F135" s="8"/>
      <c r="G135"/>
      <c r="H135"/>
      <c r="I135"/>
      <c r="J135"/>
      <c r="K135"/>
      <c r="L135"/>
      <c r="M135"/>
    </row>
    <row r="136" spans="3:13" s="1" customFormat="1" ht="20.100000000000001" customHeight="1">
      <c r="C136" s="2"/>
      <c r="D136" s="2"/>
      <c r="E136" s="8"/>
      <c r="F136" s="8"/>
      <c r="G136"/>
      <c r="H136"/>
      <c r="I136"/>
      <c r="J136"/>
      <c r="K136"/>
      <c r="L136"/>
      <c r="M136"/>
    </row>
  </sheetData>
  <mergeCells count="26">
    <mergeCell ref="B110:F110"/>
    <mergeCell ref="A108:B108"/>
    <mergeCell ref="B84:B86"/>
    <mergeCell ref="C86:E86"/>
    <mergeCell ref="A109:E109"/>
    <mergeCell ref="H1:P2"/>
    <mergeCell ref="A1:E3"/>
    <mergeCell ref="A4:B5"/>
    <mergeCell ref="A7:A71"/>
    <mergeCell ref="B7:B22"/>
    <mergeCell ref="B23:B38"/>
    <mergeCell ref="B39:B54"/>
    <mergeCell ref="B55:B71"/>
    <mergeCell ref="E5:F5"/>
    <mergeCell ref="C6:F6"/>
    <mergeCell ref="G5:G107"/>
    <mergeCell ref="A98:A107"/>
    <mergeCell ref="B98:B107"/>
    <mergeCell ref="B89:B97"/>
    <mergeCell ref="A72:A97"/>
    <mergeCell ref="B76:B78"/>
    <mergeCell ref="B80:B81"/>
    <mergeCell ref="B82:B83"/>
    <mergeCell ref="B87:B88"/>
    <mergeCell ref="C96:E96"/>
    <mergeCell ref="C97:E97"/>
  </mergeCells>
  <pageMargins left="0.70000000000000007" right="0.70000000000000007" top="0.75" bottom="0.75" header="0.30000000000000004" footer="0.30000000000000004"/>
  <pageSetup paperSize="9" fitToWidth="0" fitToHeight="0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57f94d-c537-42dc-a19f-0d6493f7abaa">
      <Terms xmlns="http://schemas.microsoft.com/office/infopath/2007/PartnerControls"/>
    </lcf76f155ced4ddcb4097134ff3c332f>
    <TaxCatchAll xmlns="2ce84c0a-bffb-42bf-a3d9-1423dca605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6D0CB88227CA429F7C38258B519B70" ma:contentTypeVersion="19" ma:contentTypeDescription="Create a new document." ma:contentTypeScope="" ma:versionID="1a860cb06139542fa7fc0ee278a99b41">
  <xsd:schema xmlns:xsd="http://www.w3.org/2001/XMLSchema" xmlns:xs="http://www.w3.org/2001/XMLSchema" xmlns:p="http://schemas.microsoft.com/office/2006/metadata/properties" xmlns:ns2="d657f94d-c537-42dc-a19f-0d6493f7abaa" xmlns:ns3="2ce84c0a-bffb-42bf-a3d9-1423dca60595" targetNamespace="http://schemas.microsoft.com/office/2006/metadata/properties" ma:root="true" ma:fieldsID="7968455ccf527348f137fc3756b940de" ns2:_="" ns3:_="">
    <xsd:import namespace="d657f94d-c537-42dc-a19f-0d6493f7abaa"/>
    <xsd:import namespace="2ce84c0a-bffb-42bf-a3d9-1423dca60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7f94d-c537-42dc-a19f-0d6493f7ab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7ef71d-cc74-42a3-8259-d5e8bea06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84c0a-bffb-42bf-a3d9-1423dca60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c8631f9-17d7-4a04-a807-ab34fbb08417}" ma:internalName="TaxCatchAll" ma:showField="CatchAllData" ma:web="2ce84c0a-bffb-42bf-a3d9-1423dca60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E60D5-A791-4AB7-9608-979D371558D3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2ce84c0a-bffb-42bf-a3d9-1423dca60595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657f94d-c537-42dc-a19f-0d6493f7ab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5E3A829-F9B1-46F4-BAC8-FD8439E6B4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E43B8C-4D30-49B3-8438-A8B68AE3B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57f94d-c537-42dc-a19f-0d6493f7abaa"/>
    <ds:schemaRef ds:uri="2ce84c0a-bffb-42bf-a3d9-1423dca60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XProtect_USD-US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Mocek</dc:creator>
  <cp:keywords/>
  <dc:description/>
  <cp:lastModifiedBy>Milda Plauske Bæklund</cp:lastModifiedBy>
  <cp:revision>1</cp:revision>
  <dcterms:created xsi:type="dcterms:W3CDTF">2025-04-08T17:25:35Z</dcterms:created>
  <dcterms:modified xsi:type="dcterms:W3CDTF">2026-09-21T16:06:27Z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milestonesys</vt:lpwstr>
  </property>
  <property fmtid="{D5CDD505-2E9C-101B-9397-08002B2CF9AE}" pid="3" name="TemplafyTemplateId">
    <vt:lpwstr>970955981649346640</vt:lpwstr>
  </property>
  <property fmtid="{D5CDD505-2E9C-101B-9397-08002B2CF9AE}" pid="4" name="TemplafyUserProfileId">
    <vt:lpwstr>910590182122586126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  <property fmtid="{D5CDD505-2E9C-101B-9397-08002B2CF9AE}" pid="7" name="ContentTypeId">
    <vt:lpwstr>0x010100B46D0CB88227CA429F7C38258B519B70</vt:lpwstr>
  </property>
  <property fmtid="{D5CDD505-2E9C-101B-9397-08002B2CF9AE}" pid="8" name="MediaServiceImageTags">
    <vt:lpwstr/>
  </property>
</Properties>
</file>